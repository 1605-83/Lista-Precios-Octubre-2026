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IOSMA" sheetId="21" r:id="rId2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20/10/2026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54222.36</v>
      </c>
      <c r="F111" s="5">
        <f>IF(D111&gt;0,E111/D111,"")</f>
        <v>1004.1177777777777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>
        <v>24</v>
      </c>
      <c r="D14" s="5">
        <v>391305.58</v>
      </c>
      <c r="E14" s="5">
        <f>IF(C14&gt;0,D14/C14,"")</f>
        <v>16304.399166666668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21/10/2026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53795.58</v>
      </c>
      <c r="E5" s="5">
        <f>IF(C5&gt;0,D5/C5,"")</f>
        <v>4482.965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52127.08</v>
      </c>
      <c r="E10" s="5">
        <f>IF(C10&gt;0,D10/C10,"")</f>
        <v>8687.8466666666664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33809.24</v>
      </c>
      <c r="E11" s="5">
        <f>IF(C11&gt;0,D11/C11,"")</f>
        <v>5634.873333333333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47356.3</v>
      </c>
      <c r="E13" s="5">
        <f>IF(C13&gt;0,D13/C13,"")</f>
        <v>3946.3583333333336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93259.44</v>
      </c>
      <c r="E14" s="5">
        <f>IF(C14&gt;0,D14/C14,"")</f>
        <v>7771.62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130162.97</v>
      </c>
      <c r="E15" s="5">
        <f>IF(C15&gt;0,D15/C15,"")</f>
        <v>10846.914166666667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89503.94</v>
      </c>
      <c r="E16" s="5">
        <f>IF(C16&gt;0,D16/C16,"")</f>
        <v>7458.6616666666669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47047.7</v>
      </c>
      <c r="E20" s="5">
        <f>IF(C20&gt;0,D20/C20,"")</f>
        <v>1960.3208333333332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24</v>
      </c>
      <c r="D21" s="5">
        <v>47047.7</v>
      </c>
      <c r="E21" s="5">
        <f>IF(C21&gt;0,D21/C21,"")</f>
        <v>1960.3208333333332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77665.22</v>
      </c>
      <c r="E22" s="5">
        <f>IF(C22&gt;0,D22/C22,"")</f>
        <v>12944.203333333333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39717.6</v>
      </c>
      <c r="E23" s="5">
        <f>IF(C23&gt;0,D23/C23,"")</f>
        <v>1654.8999999999999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58744.22</v>
      </c>
      <c r="E24" s="5">
        <f>IF(C24&gt;0,D24/C24,"")</f>
        <v>9790.7033333333329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24240.38</v>
      </c>
      <c r="E25" s="5">
        <f>IF(C25&gt;0,D25/C25,"")</f>
        <v>2020.0316666666668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24240.38</v>
      </c>
      <c r="E26" s="5">
        <f>IF(C26&gt;0,D26/C26,"")</f>
        <v>2020.0316666666668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24240.38</v>
      </c>
      <c r="E27" s="5">
        <f>IF(C27&gt;0,D27/C27,"")</f>
        <v>2020.0316666666668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24240.38</v>
      </c>
      <c r="E28" s="5">
        <f>IF(C28&gt;0,D28/C28,"")</f>
        <v>2020.0316666666668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24240.38</v>
      </c>
      <c r="E29" s="5">
        <f>IF(C29&gt;0,D29/C29,"")</f>
        <v>2020.0316666666668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41910.99</v>
      </c>
      <c r="E30" s="5">
        <f>IF(C30&gt;0,D30/C30,"")</f>
        <v>3492.5825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41910.99</v>
      </c>
      <c r="E31" s="5">
        <f>IF(C31&gt;0,D31/C31,"")</f>
        <v>3492.5825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41910.99</v>
      </c>
      <c r="E32" s="5">
        <f>IF(C32&gt;0,D32/C32,"")</f>
        <v>3492.5825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41910.99</v>
      </c>
      <c r="E33" s="5">
        <f>IF(C33&gt;0,D33/C33,"")</f>
        <v>3492.5825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41910.99</v>
      </c>
      <c r="E34" s="5">
        <f>IF(C34&gt;0,D34/C34,"")</f>
        <v>3492.5825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41910.99</v>
      </c>
      <c r="E35" s="5">
        <f>IF(C35&gt;0,D35/C35,"")</f>
        <v>3492.5825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46766.89</v>
      </c>
      <c r="E36" s="5">
        <f>IF(C36&gt;0,D36/C36,"")</f>
        <v>1948.6204166666666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46766.89</v>
      </c>
      <c r="E37" s="5">
        <f>IF(C37&gt;0,D37/C37,"")</f>
        <v>1948.6204166666666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46766.89</v>
      </c>
      <c r="E38" s="5">
        <f>IF(C38&gt;0,D38/C38,"")</f>
        <v>1948.6204166666666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46766.89</v>
      </c>
      <c r="E39" s="5">
        <f>IF(C39&gt;0,D39/C39,"")</f>
        <v>1948.6204166666666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46766.89</v>
      </c>
      <c r="E40" s="5">
        <f>IF(C40&gt;0,D40/C40,"")</f>
        <v>1948.6204166666666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55549.19</v>
      </c>
      <c r="E41" s="5">
        <f>IF(C41&gt;0,D41/C41,"")</f>
        <v>9258.1983333333337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54553.91</v>
      </c>
      <c r="E42" s="5">
        <f>IF(C42&gt;0,D42/C42,"")</f>
        <v>2273.0795833333336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119225.45</v>
      </c>
      <c r="E43" s="5">
        <f>IF(C43&gt;0,D43/C43,"")</f>
        <v>9935.4541666666664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24240.38</v>
      </c>
      <c r="E44" s="5">
        <f>IF(C44&gt;0,D44/C44,"")</f>
        <v>2020.0316666666668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24240.38</v>
      </c>
      <c r="E45" s="5">
        <f>IF(C45&gt;0,D45/C45,"")</f>
        <v>2020.0316666666668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46766.89</v>
      </c>
      <c r="E46" s="5">
        <f>IF(C46&gt;0,D46/C46,"")</f>
        <v>1948.6204166666666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24240.38</v>
      </c>
      <c r="E47" s="5">
        <f>IF(C47&gt;0,D47/C47,"")</f>
        <v>2020.0316666666668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24240.38</v>
      </c>
      <c r="E48" s="5">
        <f>IF(C48&gt;0,D48/C48,"")</f>
        <v>2020.0316666666668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24240.38</v>
      </c>
      <c r="E49" s="5">
        <f>IF(C49&gt;0,D49/C49,"")</f>
        <v>2020.0316666666668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24240.38</v>
      </c>
      <c r="E50" s="5">
        <f>IF(C50&gt;0,D50/C50,"")</f>
        <v>2020.0316666666668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24240.38</v>
      </c>
      <c r="E51" s="5">
        <f>IF(C51&gt;0,D51/C51,"")</f>
        <v>2020.0316666666668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24240.38</v>
      </c>
      <c r="E52" s="5">
        <f>IF(C52&gt;0,D52/C52,"")</f>
        <v>2020.0316666666668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24240.38</v>
      </c>
      <c r="E53" s="5">
        <f>IF(C53&gt;0,D53/C53,"")</f>
        <v>2020.0316666666668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24240.38</v>
      </c>
      <c r="E54" s="5">
        <f>IF(C54&gt;0,D54/C54,"")</f>
        <v>2020.0316666666668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36159.65</v>
      </c>
      <c r="E56" s="5">
        <f>IF(C56&gt;0,D56/C56,"")</f>
        <v>3013.3041666666668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14468.8</v>
      </c>
      <c r="E57" s="5">
        <f>IF(C57&gt;0,D57/C57,"")</f>
        <v>1205.7333333333333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14468.8</v>
      </c>
      <c r="E58" s="5">
        <f>IF(C58&gt;0,D58/C58,"")</f>
        <v>1205.7333333333333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14468.8</v>
      </c>
      <c r="E59" s="5">
        <f>IF(C59&gt;0,D59/C59,"")</f>
        <v>1205.7333333333333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14468.8</v>
      </c>
      <c r="E60" s="5">
        <f>IF(C60&gt;0,D60/C60,"")</f>
        <v>1205.7333333333333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14468.8</v>
      </c>
      <c r="E61" s="5">
        <f>IF(C61&gt;0,D61/C61,"")</f>
        <v>1205.7333333333333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42961.18</v>
      </c>
      <c r="E63" s="5">
        <f>IF(C63&gt;0,D63/C63,"")</f>
        <v>1790.0491666666667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41910.99</v>
      </c>
      <c r="E65" s="5">
        <f>IF(C65&gt;0,D65/C65,"")</f>
        <v>3492.5825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39014884</v>
      </c>
      <c r="B67" s="3" t="inlineStr">
        <is>
          <t xml:space="preserve">DR LEMON RED BERRIES 5% 4x6x473</t>
        </is>
      </c>
      <c r="C67" s="4">
        <v>24</v>
      </c>
      <c r="D67" s="5">
        <v>46766.89</v>
      </c>
      <c r="E67" s="5">
        <f>IF(C67&gt;0,D67/C67,"")</f>
        <v>1948.6204166666666</v>
      </c>
    </row>
    <row r="68">
      <c r="A68" s="4">
        <v>39014996</v>
      </c>
      <c r="B68" s="3" t="inlineStr">
        <is>
          <t xml:space="preserve">Martini Rosso 16° 12x995ml</t>
        </is>
      </c>
      <c r="C68" s="4">
        <v>12</v>
      </c>
      <c r="D68" s="5">
        <v>93259.44</v>
      </c>
      <c r="E68" s="5">
        <f>IF(C68&gt;0,D68/C68,"")</f>
        <v>7771.62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GARRAPIÑADAS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>
        <v>20</v>
      </c>
      <c r="D54" s="5">
        <v>24788.79</v>
      </c>
      <c r="E54" s="5">
        <f>IF(C54&gt;0,D54/C54,"")</f>
        <v>1239.4395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>
        <v>12</v>
      </c>
      <c r="D63" s="5">
        <v>25042.93</v>
      </c>
      <c r="E63" s="5">
        <f>IF(C63&gt;0,D63/C63,"")</f>
        <v>2086.9108333333334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>
        <v>24</v>
      </c>
      <c r="D78" s="5">
        <v>54777.28</v>
      </c>
      <c r="E78" s="5">
        <f>IF(C78&gt;0,D78/C78,"")</f>
        <v>2282.3866666666668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20386.08</v>
      </c>
      <c r="E84" s="5">
        <f>IF(C84&gt;0,D84/C84,"")</f>
        <v>1698.8400000000001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20386.08</v>
      </c>
      <c r="E85" s="5">
        <f>IF(C85&gt;0,D85/C85,"")</f>
        <v>1698.8400000000001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22019.13</v>
      </c>
      <c r="E86" s="5">
        <f>IF(C86&gt;0,D86/C86,"")</f>
        <v>1834.9275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24232.43</v>
      </c>
      <c r="E87" s="5">
        <f>IF(C87&gt;0,D87/C87,"")</f>
        <v>2019.3691666666666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  <row r="31">
      <c r="A31" s="4">
        <v>874513</v>
      </c>
      <c r="B31" s="3" t="inlineStr">
        <is>
          <t xml:space="preserve">Aromatiz. Gat. Ropa Limpia 250ml</t>
        </is>
      </c>
      <c r="C31" s="4">
        <v>12</v>
      </c>
      <c r="D31" s="5">
        <v>30501.37</v>
      </c>
      <c r="E31" s="5">
        <f>IF(C31&gt;0,D31/C31,"")</f>
        <v>2541.7808333333332</v>
      </c>
    </row>
    <row r="32">
      <c r="A32" s="4">
        <v>874520</v>
      </c>
      <c r="B32" s="3" t="inlineStr">
        <is>
          <t xml:space="preserve">Aromatiz. Gat. Cony Fresh 250ml</t>
        </is>
      </c>
      <c r="C32" s="4">
        <v>12</v>
      </c>
      <c r="D32" s="5">
        <v>30501.37</v>
      </c>
      <c r="E32" s="5">
        <f>IF(C32&gt;0,D32/C32,"")</f>
        <v>2541.7808333333332</v>
      </c>
    </row>
    <row r="33">
      <c r="A33" s="4">
        <v>874537</v>
      </c>
      <c r="B33" s="3" t="inlineStr">
        <is>
          <t xml:space="preserve">Aromatiz. Gat. Bubble Candy 250ml</t>
        </is>
      </c>
      <c r="C33" s="4">
        <v>12</v>
      </c>
      <c r="D33" s="5">
        <v>30501.37</v>
      </c>
      <c r="E33" s="5">
        <f>IF(C33&gt;0,D33/C33,"")</f>
        <v>2541.7808333333332</v>
      </c>
    </row>
    <row r="34">
      <c r="A34" s="4">
        <v>874544</v>
      </c>
      <c r="B34" s="3" t="inlineStr">
        <is>
          <t xml:space="preserve">Aromatiz. Gat. Green Bamboo 250ml</t>
        </is>
      </c>
      <c r="C34" s="4">
        <v>12</v>
      </c>
      <c r="D34" s="5">
        <v>30501.37</v>
      </c>
      <c r="E34" s="5">
        <f>IF(C34&gt;0,D34/C34,"")</f>
        <v>2541.7808333333332</v>
      </c>
    </row>
    <row r="35">
      <c r="A35" s="4">
        <v>874551</v>
      </c>
      <c r="B35" s="3" t="inlineStr">
        <is>
          <t xml:space="preserve">Aromatiz. Gat. Coconut Grove 250ml</t>
        </is>
      </c>
      <c r="C35" s="4">
        <v>12</v>
      </c>
      <c r="D35" s="5">
        <v>30501.37</v>
      </c>
      <c r="E35" s="5">
        <f>IF(C35&gt;0,D35/C35,"")</f>
        <v>2541.7808333333332</v>
      </c>
    </row>
    <row r="36">
      <c r="A36" s="4">
        <v>874568</v>
      </c>
      <c r="B36" s="3" t="inlineStr">
        <is>
          <t xml:space="preserve">Aromatiz. Gat. Exotic Flower 250ml</t>
        </is>
      </c>
      <c r="C36" s="4">
        <v>12</v>
      </c>
      <c r="D36" s="5">
        <v>30501.37</v>
      </c>
      <c r="E36" s="5">
        <f>IF(C36&gt;0,D36/C36,"")</f>
        <v>2541.7808333333332</v>
      </c>
    </row>
    <row r="37">
      <c r="A37" s="4">
        <v>874575</v>
      </c>
      <c r="B37" s="3" t="inlineStr">
        <is>
          <t xml:space="preserve">Aromatiz. Gat. Mary Blossom 250ml</t>
        </is>
      </c>
      <c r="C37" s="4">
        <v>12</v>
      </c>
      <c r="D37" s="5">
        <v>30501.37</v>
      </c>
      <c r="E37" s="5">
        <f>IF(C37&gt;0,D37/C37,"")</f>
        <v>2541.7808333333332</v>
      </c>
    </row>
    <row r="38">
      <c r="A38" s="4">
        <v>874582</v>
      </c>
      <c r="B38" s="3" t="inlineStr">
        <is>
          <t xml:space="preserve">Aromatiz. Gat. Victus 250ml</t>
        </is>
      </c>
      <c r="C38" s="4">
        <v>12</v>
      </c>
      <c r="D38" s="5">
        <v>30501.37</v>
      </c>
      <c r="E38" s="5">
        <f>IF(C38&gt;0,D38/C38,"")</f>
        <v>2541.7808333333332</v>
      </c>
    </row>
    <row r="39">
      <c r="A39" s="4">
        <v>874599</v>
      </c>
      <c r="B39" s="3" t="inlineStr">
        <is>
          <t xml:space="preserve">Aromatiz. Gat. Santal 250ml</t>
        </is>
      </c>
      <c r="C39" s="4">
        <v>12</v>
      </c>
      <c r="D39" s="5">
        <v>30501.37</v>
      </c>
      <c r="E39" s="5">
        <f>IF(C39&gt;0,D39/C39,"")</f>
        <v>2541.7808333333332</v>
      </c>
    </row>
    <row r="40">
      <c r="A40" s="4">
        <v>874605</v>
      </c>
      <c r="B40" s="3" t="inlineStr">
        <is>
          <t xml:space="preserve">Aromatiz. Gat. One Alma 250ml</t>
        </is>
      </c>
      <c r="C40" s="4">
        <v>12</v>
      </c>
      <c r="D40" s="5">
        <v>30501.37</v>
      </c>
      <c r="E40" s="5">
        <f>IF(C40&gt;0,D40/C40,"")</f>
        <v>2541.7808333333332</v>
      </c>
    </row>
    <row r="41">
      <c r="A41" s="4">
        <v>874612</v>
      </c>
      <c r="B41" s="3" t="inlineStr">
        <is>
          <t xml:space="preserve">Aromatiz. Gat. Ropa Limpia 500ml</t>
        </is>
      </c>
      <c r="C41" s="4">
        <v>12</v>
      </c>
      <c r="D41" s="5">
        <v>54890.78</v>
      </c>
      <c r="E41" s="5">
        <f>IF(C41&gt;0,D41/C41,"")</f>
        <v>4574.2316666666666</v>
      </c>
    </row>
    <row r="42">
      <c r="A42" s="4">
        <v>874629</v>
      </c>
      <c r="B42" s="3" t="inlineStr">
        <is>
          <t xml:space="preserve">Aromatiz. Gat. Bubble Candy 500ml</t>
        </is>
      </c>
      <c r="C42" s="4">
        <v>12</v>
      </c>
      <c r="D42" s="5">
        <v>54890.78</v>
      </c>
      <c r="E42" s="5">
        <f>IF(C42&gt;0,D42/C42,"")</f>
        <v>4574.2316666666666</v>
      </c>
    </row>
    <row r="43">
      <c r="A43" s="4">
        <v>874636</v>
      </c>
      <c r="B43" s="3" t="inlineStr">
        <is>
          <t xml:space="preserve">Aromatiz. Gat. Coconut Grove 500ml</t>
        </is>
      </c>
      <c r="C43" s="4">
        <v>12</v>
      </c>
      <c r="D43" s="5">
        <v>54890.78</v>
      </c>
      <c r="E43" s="5">
        <f>IF(C43&gt;0,D43/C43,"")</f>
        <v>4574.2316666666666</v>
      </c>
    </row>
    <row r="44">
      <c r="A44" s="4">
        <v>874643</v>
      </c>
      <c r="B44" s="3" t="inlineStr">
        <is>
          <t xml:space="preserve">Aromatiz. Gat. Exotic Flower 500ml</t>
        </is>
      </c>
      <c r="C44" s="4">
        <v>12</v>
      </c>
      <c r="D44" s="5">
        <v>54890.78</v>
      </c>
      <c r="E44" s="5">
        <f>IF(C44&gt;0,D44/C44,"")</f>
        <v>4574.2316666666666</v>
      </c>
    </row>
    <row r="45">
      <c r="A45" s="4">
        <v>874650</v>
      </c>
      <c r="B45" s="3" t="inlineStr">
        <is>
          <t xml:space="preserve">Aromatiz. Gat. Mary Blossom 500ml</t>
        </is>
      </c>
      <c r="C45" s="4">
        <v>12</v>
      </c>
      <c r="D45" s="5">
        <v>54890.78</v>
      </c>
      <c r="E45" s="5">
        <f>IF(C45&gt;0,D45/C45,"")</f>
        <v>4574.2316666666666</v>
      </c>
    </row>
    <row r="46">
      <c r="A46" s="4">
        <v>874667</v>
      </c>
      <c r="B46" s="3" t="inlineStr">
        <is>
          <t xml:space="preserve">Aromatiz. Gat. Victus 500ml</t>
        </is>
      </c>
      <c r="C46" s="4">
        <v>12</v>
      </c>
      <c r="D46" s="5">
        <v>54890.78</v>
      </c>
      <c r="E46" s="5">
        <f>IF(C46&gt;0,D46/C46,"")</f>
        <v>4574.2316666666666</v>
      </c>
    </row>
    <row r="47">
      <c r="A47" s="4">
        <v>874674</v>
      </c>
      <c r="B47" s="3" t="inlineStr">
        <is>
          <t xml:space="preserve">Aromatiz. Gat. Santal 500ml</t>
        </is>
      </c>
      <c r="C47" s="4">
        <v>12</v>
      </c>
      <c r="D47" s="5">
        <v>54890.78</v>
      </c>
      <c r="E47" s="5">
        <f>IF(C47&gt;0,D47/C47,"")</f>
        <v>4574.2316666666666</v>
      </c>
    </row>
    <row r="48">
      <c r="A48" s="4">
        <v>874681</v>
      </c>
      <c r="B48" s="3" t="inlineStr">
        <is>
          <t xml:space="preserve">Aromatiz. Gat. One Alma 500ml</t>
        </is>
      </c>
      <c r="C48" s="4">
        <v>12</v>
      </c>
      <c r="D48" s="5">
        <v>54890.78</v>
      </c>
      <c r="E48" s="5">
        <f>IF(C48&gt;0,D48/C48,"")</f>
        <v>4574.2316666666666</v>
      </c>
    </row>
    <row r="49">
      <c r="A49" s="4">
        <v>874698</v>
      </c>
      <c r="B49" s="3" t="inlineStr">
        <is>
          <t xml:space="preserve">Aromatiz. Gat. Green Bamboo 500ml</t>
        </is>
      </c>
      <c r="C49" s="4">
        <v>12</v>
      </c>
      <c r="D49" s="5">
        <v>54890.78</v>
      </c>
      <c r="E49" s="5">
        <f>IF(C49&gt;0,D49/C49,"")</f>
        <v>4574.2316666666666</v>
      </c>
    </row>
    <row r="50">
      <c r="A50" s="4">
        <v>874704</v>
      </c>
      <c r="B50" s="3" t="inlineStr">
        <is>
          <t xml:space="preserve">Aromatiz. Gat. Cony Fresh 500ml</t>
        </is>
      </c>
      <c r="C50" s="4">
        <v>12</v>
      </c>
      <c r="D50" s="5">
        <v>54890.78</v>
      </c>
      <c r="E50" s="5">
        <f>IF(C50&gt;0,D50/C50,"")</f>
        <v>4574.2316666666666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15/10/2026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10850.65</v>
      </c>
      <c r="E6" s="5">
        <f>IF(C6&gt;0,D6/C6,"")</f>
        <v>904.2208333333333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16236.99</v>
      </c>
      <c r="E8" s="5">
        <f>IF(C8&gt;0,D8/C8,"")</f>
        <v>1353.0825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8681.07</v>
      </c>
      <c r="E23" s="5">
        <f>IF(C23&gt;0,D23/C23,"")</f>
        <v>723.4225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ALCAZAR</t>
        </is>
      </c>
      <c r="C28" s="4">
        <v>12</v>
      </c>
      <c r="D28" s="5">
        <v>12989.59</v>
      </c>
      <c r="E28" s="5">
        <f>IF(C28&gt;0,D28/C28,"")</f>
        <v>1082.4658333333334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>
        <v>6</v>
      </c>
      <c r="D30" s="5">
        <v>24596.23</v>
      </c>
      <c r="E30" s="5">
        <f>IF(C30&gt;0,D30/C30,"")</f>
        <v>4099.3716666666669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1750.56</v>
      </c>
      <c r="E32" s="5">
        <f>IF(C32&gt;0,D32/C32,"")</f>
        <v>145.88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23/10/2026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000 MASA MADRE 10x1</t>
        </is>
      </c>
      <c r="C11" s="4">
        <v>10</v>
      </c>
      <c r="D11" s="5">
        <v>13357.93</v>
      </c>
      <c r="E11" s="5">
        <f>IF(C11&gt;0,D11/C11,"")</f>
        <v>1335.7930000000001</v>
      </c>
    </row>
    <row r="12">
      <c r="A12" s="4">
        <v>3626033</v>
      </c>
      <c r="B12" s="3" t="inlineStr">
        <is>
          <t xml:space="preserve">HARINA MASA MADRE S/GLUTE X 400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3626034</v>
      </c>
      <c r="B13" s="3" t="inlineStr">
        <is>
          <t xml:space="preserve">PREM PAN DE QUESO S/GLUTEN X 300 G</t>
        </is>
      </c>
      <c r="C13" s="4">
        <v>10</v>
      </c>
      <c r="D13" s="5">
        <v>19326.25</v>
      </c>
      <c r="E13" s="5">
        <f>IF(C13&gt;0,D13/C13,"")</f>
        <v>1932.625</v>
      </c>
    </row>
    <row r="14">
      <c r="A14" s="4">
        <v>3626040</v>
      </c>
      <c r="B14" s="3" t="inlineStr">
        <is>
          <t xml:space="preserve">HARINA 00 PIZZA NAPOLETANA 10 X 1  KG</t>
        </is>
      </c>
      <c r="C14" s="4">
        <v>10</v>
      </c>
      <c r="D14" s="5">
        <v>25610.4</v>
      </c>
      <c r="E14" s="5">
        <f>IF(C14&gt;0,D14/C14,"")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