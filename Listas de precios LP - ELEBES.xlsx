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PAS ARGENTINAS" sheetId="6" r:id="rId6"/>
    <sheet name="COMERCIALIZADORA LP" sheetId="7" r:id="rId7"/>
    <sheet name="DREAMCO" sheetId="8" r:id="rId8"/>
    <sheet name="GENERAL CEREALS" sheetId="9" r:id="rId9"/>
    <sheet name="GEORGALOS" sheetId="10" r:id="rId10"/>
    <sheet name="ILOLAY" sheetId="11" r:id="rId11"/>
    <sheet name="LABORATORIOS ECOVITA" sheetId="12" r:id="rId12"/>
    <sheet name="LCB" sheetId="13" r:id="rId13"/>
    <sheet name="LEDESMA" sheetId="14" r:id="rId14"/>
    <sheet name="MENOYO" sheetId="15" r:id="rId15"/>
    <sheet name="MOLINO CHACABUCO" sheetId="16" r:id="rId16"/>
    <sheet name="NECHO" sheetId="17" r:id="rId17"/>
    <sheet name="POLDITOS" sheetId="18" r:id="rId18"/>
    <sheet name="PORTA HNOS" sheetId="19" r:id="rId19"/>
    <sheet name="PRO DE MAN" sheetId="20" r:id="rId20"/>
    <sheet name="RIOSMA" sheetId="21" r:id="rId2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14/10/2026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1506523</v>
      </c>
      <c r="B95" s="3" t="inlineStr">
        <is>
          <t xml:space="preserve">Serv Elite Int Plus SH X250/72</t>
        </is>
      </c>
      <c r="C95" s="4"/>
      <c r="D95" s="4">
        <v>72</v>
      </c>
      <c r="E95" s="5">
        <v>63234.6</v>
      </c>
      <c r="F95" s="5">
        <f>IF(D95&gt;0,E95/D95,"")</f>
        <v>878.25833333333333</v>
      </c>
    </row>
    <row r="96">
      <c r="A96" s="4">
        <v>1509232</v>
      </c>
      <c r="B96" s="3" t="inlineStr">
        <is>
          <t xml:space="preserve">RC NOBLE 40P x3/10</t>
        </is>
      </c>
      <c r="C96" s="4">
        <v>48</v>
      </c>
      <c r="D96" s="4">
        <v>10</v>
      </c>
      <c r="E96" s="5">
        <v>15947.45</v>
      </c>
      <c r="F96" s="5">
        <f>IF(D96&gt;0,E96/D96,"")</f>
        <v>1594.7450000000001</v>
      </c>
    </row>
    <row r="97">
      <c r="A97" s="4">
        <v>1509243</v>
      </c>
      <c r="B97" s="3" t="inlineStr">
        <is>
          <t xml:space="preserve">PH NOBLE HS 30M X4/12</t>
        </is>
      </c>
      <c r="C97" s="4">
        <v>60</v>
      </c>
      <c r="D97" s="4">
        <v>12</v>
      </c>
      <c r="E97" s="5">
        <v>21596.33</v>
      </c>
      <c r="F97" s="5">
        <f>IF(D97&gt;0,E97/D97,"")</f>
        <v>1799.6941666666669</v>
      </c>
    </row>
    <row r="98">
      <c r="A98" s="4">
        <v>1509244</v>
      </c>
      <c r="B98" s="3" t="inlineStr">
        <is>
          <t xml:space="preserve">PH NOBLE HS 30X6</t>
        </is>
      </c>
      <c r="C98" s="4">
        <v>48</v>
      </c>
      <c r="D98" s="4">
        <v>10</v>
      </c>
      <c r="E98" s="5">
        <v>26082.47</v>
      </c>
      <c r="F98" s="5">
        <f>IF(D98&gt;0,E98/D98,"")</f>
        <v>2608.2470000000003</v>
      </c>
    </row>
    <row r="99">
      <c r="A99" s="4">
        <v>1509245</v>
      </c>
      <c r="B99" s="3" t="inlineStr">
        <is>
          <t xml:space="preserve">PH NOBLE DH 30x4/10</t>
        </is>
      </c>
      <c r="C99" s="4">
        <v>48</v>
      </c>
      <c r="D99" s="4">
        <v>10</v>
      </c>
      <c r="E99" s="5">
        <v>28089.53</v>
      </c>
      <c r="F99" s="5">
        <f>IF(D99&gt;0,E99/D99,"")</f>
        <v>2808.953</v>
      </c>
    </row>
    <row r="100">
      <c r="A100" s="4">
        <v>1509749</v>
      </c>
      <c r="B100" s="3" t="inlineStr">
        <is>
          <t xml:space="preserve">PD ladysoft clasicos 20x30</t>
        </is>
      </c>
      <c r="C100" s="4">
        <v>60</v>
      </c>
      <c r="D100" s="4">
        <v>30</v>
      </c>
      <c r="E100" s="5">
        <v>47205.4</v>
      </c>
      <c r="F100" s="5">
        <f>IF(D100&gt;0,E100/D100,"")</f>
        <v>1573.5133333333333</v>
      </c>
    </row>
    <row r="101">
      <c r="A101" s="4">
        <v>1509750</v>
      </c>
      <c r="B101" s="3" t="inlineStr">
        <is>
          <t xml:space="preserve">PD LADYSOFT CLASICOS 56x10</t>
        </is>
      </c>
      <c r="C101" s="4">
        <v>84</v>
      </c>
      <c r="D101" s="4">
        <v>10</v>
      </c>
      <c r="E101" s="5">
        <v>41386.85</v>
      </c>
      <c r="F101" s="5">
        <f>IF(D101&gt;0,E101/D101,"")</f>
        <v>4138.6849999999995</v>
      </c>
    </row>
    <row r="102">
      <c r="A102" s="4">
        <v>1509755</v>
      </c>
      <c r="B102" s="3" t="inlineStr">
        <is>
          <t xml:space="preserve">TF UD T/SECA LADYSOFT ULTRA PROTECT 8</t>
        </is>
      </c>
      <c r="C102" s="4">
        <v>60</v>
      </c>
      <c r="D102" s="4">
        <v>40</v>
      </c>
      <c r="E102" s="5">
        <v>58063.82</v>
      </c>
      <c r="F102" s="5">
        <f>IF(D102&gt;0,E102/D102,"")</f>
        <v>1451.5955</v>
      </c>
    </row>
    <row r="103">
      <c r="A103" s="4">
        <v>1509756</v>
      </c>
      <c r="B103" s="3" t="inlineStr">
        <is>
          <t xml:space="preserve">TF UD T/SECA LADYSOFT UL PRT 16u</t>
        </is>
      </c>
      <c r="C103" s="4">
        <v>60</v>
      </c>
      <c r="D103" s="4">
        <v>20</v>
      </c>
      <c r="E103" s="5">
        <v>56475.9</v>
      </c>
      <c r="F103" s="5">
        <f>IF(D103&gt;0,E103/D103,"")</f>
        <v>2823.795</v>
      </c>
    </row>
    <row r="104">
      <c r="A104" s="4">
        <v>1509757</v>
      </c>
      <c r="B104" s="3" t="inlineStr">
        <is>
          <t xml:space="preserve">TF UD T/SECA LADYSOFT UL PTEC 24u</t>
        </is>
      </c>
      <c r="C104" s="4">
        <v>60</v>
      </c>
      <c r="D104" s="4">
        <v>15</v>
      </c>
      <c r="E104" s="5">
        <v>60502.23</v>
      </c>
      <c r="F104" s="5">
        <f>IF(D104&gt;0,E104/D104,"")</f>
        <v>4033.4820000000004</v>
      </c>
    </row>
    <row r="105">
      <c r="A105" s="4">
        <v>1509758</v>
      </c>
      <c r="B105" s="3" t="inlineStr">
        <is>
          <t xml:space="preserve">TF UD T/SUAVE EXT ALGO 8X40</t>
        </is>
      </c>
      <c r="C105" s="4">
        <v>60</v>
      </c>
      <c r="D105" s="4">
        <v>40</v>
      </c>
      <c r="E105" s="5">
        <v>54001.88</v>
      </c>
      <c r="F105" s="5">
        <f>IF(D105&gt;0,E105/D105,"")</f>
        <v>1350.047</v>
      </c>
    </row>
    <row r="106">
      <c r="A106" s="4">
        <v>1509759</v>
      </c>
      <c r="B106" s="3" t="inlineStr">
        <is>
          <t xml:space="preserve">TF UD T/SUAVE EXT ALG 16x20</t>
        </is>
      </c>
      <c r="C106" s="4">
        <v>60</v>
      </c>
      <c r="D106" s="4">
        <v>20</v>
      </c>
      <c r="E106" s="5">
        <v>51563.15</v>
      </c>
      <c r="F106" s="5">
        <f>IF(D106&gt;0,E106/D106,"")</f>
        <v>2578.1575000000003</v>
      </c>
    </row>
    <row r="107">
      <c r="A107" s="4">
        <v>1509760</v>
      </c>
      <c r="B107" s="3" t="inlineStr">
        <is>
          <t xml:space="preserve">TD UF T/Suave Ladysoft EXT ALGODÓN 24x15</t>
        </is>
      </c>
      <c r="C107" s="4">
        <v>60</v>
      </c>
      <c r="D107" s="4">
        <v>15</v>
      </c>
      <c r="E107" s="5">
        <v>55018.2</v>
      </c>
      <c r="F107" s="5">
        <f>IF(D107&gt;0,E107/D107,"")</f>
        <v>3667.8799999999997</v>
      </c>
    </row>
    <row r="108">
      <c r="A108" s="4">
        <v>1509761</v>
      </c>
      <c r="B108" s="3" t="inlineStr">
        <is>
          <t xml:space="preserve">TF LADYSOFT COMFORT EXT ALGODON 8x54</t>
        </is>
      </c>
      <c r="C108" s="4">
        <v>50</v>
      </c>
      <c r="D108" s="4">
        <v>54</v>
      </c>
      <c r="E108" s="5">
        <v>51959.99</v>
      </c>
      <c r="F108" s="5">
        <f>IF(D108&gt;0,E108/D108,"")</f>
        <v>962.222037037037</v>
      </c>
    </row>
    <row r="109">
      <c r="A109" s="4">
        <v>1509762</v>
      </c>
      <c r="B109" s="3" t="inlineStr">
        <is>
          <t xml:space="preserve">TF NOCTUR EXT A 8x32</t>
        </is>
      </c>
      <c r="C109" s="4">
        <v>63</v>
      </c>
      <c r="D109" s="4">
        <v>32</v>
      </c>
      <c r="E109" s="5">
        <v>45387.27</v>
      </c>
      <c r="F109" s="5">
        <f>IF(D109&gt;0,E109/D109,"")</f>
        <v>1418.3521875</v>
      </c>
    </row>
    <row r="110">
      <c r="A110" s="4">
        <v>1509763</v>
      </c>
      <c r="B110" s="3" t="inlineStr">
        <is>
          <t xml:space="preserve">TF Nocturna EXT ALGODON 16X16</t>
        </is>
      </c>
      <c r="C110" s="4">
        <v>54</v>
      </c>
      <c r="D110" s="4">
        <v>16</v>
      </c>
      <c r="E110" s="5">
        <v>43851.46</v>
      </c>
      <c r="F110" s="5">
        <f>IF(D110&gt;0,E110/D110,"")</f>
        <v>2740.71625</v>
      </c>
    </row>
    <row r="111">
      <c r="A111" s="4">
        <v>1509764</v>
      </c>
      <c r="B111" s="3" t="inlineStr">
        <is>
          <t xml:space="preserve">TF NORMAL T/SUAVE EXT ALGODON 8x54</t>
        </is>
      </c>
      <c r="C111" s="4">
        <v>54</v>
      </c>
      <c r="D111" s="4">
        <v>54</v>
      </c>
      <c r="E111" s="5">
        <v>55450.42</v>
      </c>
      <c r="F111" s="5">
        <f>IF(D111&gt;0,E111/D111,"")</f>
        <v>1026.8596296296296</v>
      </c>
    </row>
    <row r="112">
      <c r="A112" s="4">
        <v>1509765</v>
      </c>
      <c r="B112" s="3" t="inlineStr">
        <is>
          <t xml:space="preserve">TF NORMALT/SUAVE EXT ALG 16x27</t>
        </is>
      </c>
      <c r="C112" s="4">
        <v>54</v>
      </c>
      <c r="D112" s="4">
        <v>27</v>
      </c>
      <c r="E112" s="5">
        <v>54303.52</v>
      </c>
      <c r="F112" s="5">
        <f>IF(D112&gt;0,E112/D112,"")</f>
        <v>2011.2414814814813</v>
      </c>
    </row>
    <row r="113">
      <c r="A113" s="4">
        <v>1509766</v>
      </c>
      <c r="B113" s="3" t="inlineStr">
        <is>
          <t xml:space="preserve">TF T/SECA NORMAL MAS PROTECC 8x54</t>
        </is>
      </c>
      <c r="C113" s="4">
        <v>54</v>
      </c>
      <c r="D113" s="4">
        <v>54</v>
      </c>
      <c r="E113" s="5">
        <v>59838.63</v>
      </c>
      <c r="F113" s="5">
        <f>IF(D113&gt;0,E113/D113,"")</f>
        <v>1108.1227777777776</v>
      </c>
    </row>
    <row r="114">
      <c r="A114" s="4">
        <v>1509767</v>
      </c>
      <c r="B114" s="3" t="inlineStr">
        <is>
          <t xml:space="preserve">TF UD TSUAVE ACTIVE 8X40</t>
        </is>
      </c>
      <c r="C114" s="4">
        <v>60</v>
      </c>
      <c r="D114" s="4">
        <v>40</v>
      </c>
      <c r="E114" s="5">
        <v>65673.74</v>
      </c>
      <c r="F114" s="5">
        <f>IF(D114&gt;0,E114/D114,"")</f>
        <v>1641.8435000000002</v>
      </c>
    </row>
    <row r="115">
      <c r="A115" s="4">
        <v>1509768</v>
      </c>
      <c r="B115" s="3" t="inlineStr">
        <is>
          <t xml:space="preserve">TF NORMAL T/SUAVE PIEL SENSIBLE 8x54</t>
        </is>
      </c>
      <c r="C115" s="4">
        <v>54</v>
      </c>
      <c r="D115" s="4">
        <v>54</v>
      </c>
      <c r="E115" s="5">
        <v>63726.79</v>
      </c>
      <c r="F115" s="5">
        <f>IF(D115&gt;0,E115/D115,"")</f>
        <v>1180.1257407407409</v>
      </c>
    </row>
    <row r="116">
      <c r="A116" s="4">
        <v>1509769</v>
      </c>
      <c r="B116" s="3" t="inlineStr">
        <is>
          <t xml:space="preserve">PD RESPIRABLES 100/12</t>
        </is>
      </c>
      <c r="C116" s="4">
        <v>50</v>
      </c>
      <c r="D116" s="4">
        <v>12</v>
      </c>
      <c r="E116" s="5">
        <v>76814.97</v>
      </c>
      <c r="F116" s="5">
        <f>IF(D116&gt;0,E116/D116,"")</f>
        <v>6401.2475</v>
      </c>
    </row>
    <row r="117">
      <c r="A117" s="4">
        <v>1509916</v>
      </c>
      <c r="B117" s="3" t="inlineStr">
        <is>
          <t xml:space="preserve">PD LADYSOFT UD RESPIRABLE S/ALAS X20/30</t>
        </is>
      </c>
      <c r="C117" s="4"/>
      <c r="D117" s="4">
        <v>30</v>
      </c>
      <c r="E117" s="5">
        <v>47622.19</v>
      </c>
      <c r="F117" s="5">
        <f>IF(D117&gt;0,E117/D117,"")</f>
        <v>1587.4063333333334</v>
      </c>
    </row>
    <row r="119">
      <c r="A119" s="6" t="inlineStr">
        <is>
          <t xml:space="preserve">* 1503121 TH Babysec Premium 50/10: En el sistema el precio Pack figura 10 veces mas alto. Se toma el precio Unidad del sistema como precio del bulto.</t>
        </is>
      </c>
    </row>
    <row r="120">
      <c r="A120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>
        <v>12</v>
      </c>
      <c r="D4" s="5">
        <v>435377.55</v>
      </c>
      <c r="E4" s="5">
        <f>IF(C4&gt;0,D4/C4,"")</f>
        <v>36281.4625</v>
      </c>
    </row>
    <row r="5">
      <c r="A5" s="4">
        <v>522799</v>
      </c>
      <c r="B5" s="3" t="inlineStr">
        <is>
          <t xml:space="preserve">AF BIC COMFORT 3 BLU AR X12</t>
        </is>
      </c>
      <c r="C5" s="4">
        <v>24</v>
      </c>
      <c r="D5" s="5">
        <v>282643.13</v>
      </c>
      <c r="E5" s="5">
        <f>IF(C5&gt;0,D5/C5,"")</f>
        <v>11776.797083333333</v>
      </c>
    </row>
    <row r="6">
      <c r="A6" s="4">
        <v>522800</v>
      </c>
      <c r="B6" s="3" t="inlineStr">
        <is>
          <t xml:space="preserve">COMFORT3 SEN AR</t>
        </is>
      </c>
      <c r="C6" s="4">
        <v>24</v>
      </c>
      <c r="D6" s="5">
        <v>282643.13</v>
      </c>
      <c r="E6" s="5">
        <f>IF(C6&gt;0,D6/C6,"")</f>
        <v>11776.797083333333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>
        <v>24</v>
      </c>
      <c r="D7" s="5">
        <v>282643.13</v>
      </c>
      <c r="E7" s="5">
        <f>IF(C7&gt;0,D7/C7,"")</f>
        <v>11776.797083333333</v>
      </c>
    </row>
    <row r="8">
      <c r="A8" s="4">
        <v>835385</v>
      </c>
      <c r="B8" s="3" t="inlineStr">
        <is>
          <t xml:space="preserve">AF BIC TWIN CONFORT SENSITIVE CTL X24</t>
        </is>
      </c>
      <c r="C8" s="4">
        <v>24</v>
      </c>
      <c r="D8" s="5">
        <v>406797.55</v>
      </c>
      <c r="E8" s="5">
        <f>IF(C8&gt;0,D8/C8,"")</f>
        <v>16949.897916666665</v>
      </c>
    </row>
    <row r="9">
      <c r="A9" s="4">
        <v>861844</v>
      </c>
      <c r="B9" s="3" t="inlineStr">
        <is>
          <t xml:space="preserve">BOL OPACO AZ BX/50</t>
        </is>
      </c>
      <c r="C9" s="4">
        <v>24</v>
      </c>
      <c r="D9" s="5">
        <v>606525.08</v>
      </c>
      <c r="E9" s="5">
        <f>IF(C9&gt;0,D9/C9,"")</f>
        <v>25271.87833333333</v>
      </c>
    </row>
    <row r="10">
      <c r="A10" s="4">
        <v>861845</v>
      </c>
      <c r="B10" s="3" t="inlineStr">
        <is>
          <t xml:space="preserve">BOL OPACO  ROJO  BX X50</t>
        </is>
      </c>
      <c r="C10" s="4">
        <v>24</v>
      </c>
      <c r="D10" s="5">
        <v>606525.08</v>
      </c>
      <c r="E10" s="5">
        <f>IF(C10&gt;0,D10/C10,"")</f>
        <v>25271.87833333333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>
        <v>24</v>
      </c>
      <c r="D12" s="5">
        <v>490398.48</v>
      </c>
      <c r="E12" s="5">
        <f>IF(C12&gt;0,D12/C12,"")</f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/>
      <c r="D14" s="5"/>
      <c r="E14" s="5">
        <v>16304.4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>
        <v>12</v>
      </c>
      <c r="D17" s="5">
        <v>501440.94</v>
      </c>
      <c r="E17" s="5">
        <f>IF(C17&gt;0,D17/C17,"")</f>
        <v>41786.745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>
        <v>22</v>
      </c>
      <c r="D20" s="5">
        <v>322399.61</v>
      </c>
      <c r="E20" s="5">
        <f>IF(C20&gt;0,D20/C20,"")</f>
        <v>14654.527727272727</v>
      </c>
    </row>
    <row r="21">
      <c r="A21" s="4">
        <v>9297971</v>
      </c>
      <c r="B21" s="3" t="inlineStr">
        <is>
          <t xml:space="preserve">MINI BIC CTL 22X12 CX264 ARG</t>
        </is>
      </c>
      <c r="C21" s="4">
        <v>22</v>
      </c>
      <c r="D21" s="5">
        <v>222004.41</v>
      </c>
      <c r="E21" s="5">
        <f>IF(C21&gt;0,D21/C21,"")</f>
        <v>10091.109545454545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>
        <v>13</v>
      </c>
      <c r="D4" s="5">
        <v>13092.93</v>
      </c>
      <c r="E4" s="5">
        <f>IF(C4&gt;0,D4/C4,"")</f>
        <v>1007.1484615384616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>
        <v>12</v>
      </c>
      <c r="D5" s="5">
        <v>12997.58</v>
      </c>
      <c r="E5" s="5">
        <f>IF(C5&gt;0,D5/C5,"")</f>
        <v>1083.1316666666667</v>
      </c>
    </row>
    <row r="6">
      <c r="A6" s="4">
        <v>101330</v>
      </c>
      <c r="B6" s="3" t="inlineStr">
        <is>
          <t xml:space="preserve">CJ X16 A VERDE X 100 DOY PACK</t>
        </is>
      </c>
      <c r="C6" s="4">
        <v>16</v>
      </c>
      <c r="D6" s="5">
        <v>13963.21</v>
      </c>
      <c r="E6" s="5">
        <f>IF(C6&gt;0,D6/C6,"")</f>
        <v>872.700625</v>
      </c>
    </row>
    <row r="7">
      <c r="A7" s="4">
        <v>101339</v>
      </c>
      <c r="B7" s="3" t="inlineStr">
        <is>
          <t xml:space="preserve">CJ X 16 A VERDE AJO X 100 DP</t>
        </is>
      </c>
      <c r="C7" s="4">
        <v>16</v>
      </c>
      <c r="D7" s="5">
        <v>26747.97</v>
      </c>
      <c r="E7" s="5">
        <f>IF(C7&gt;0,D7/C7,"")</f>
        <v>1671.748125</v>
      </c>
    </row>
    <row r="8">
      <c r="A8" s="4">
        <v>101340</v>
      </c>
      <c r="B8" s="3" t="inlineStr">
        <is>
          <t xml:space="preserve">CJ X 16 A VERDE AHU X 100 DP</t>
        </is>
      </c>
      <c r="C8" s="4">
        <v>16</v>
      </c>
      <c r="D8" s="5">
        <v>25969.12</v>
      </c>
      <c r="E8" s="5">
        <f>IF(C8&gt;0,D8/C8,"")</f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>
        <v>12</v>
      </c>
      <c r="D9" s="5">
        <v>21769.26</v>
      </c>
      <c r="E9" s="5">
        <f>IF(C9&gt;0,D9/C9,"")</f>
        <v>1814.1049999999998</v>
      </c>
    </row>
    <row r="10">
      <c r="A10" s="4">
        <v>101349</v>
      </c>
      <c r="B10" s="3" t="inlineStr">
        <is>
          <t xml:space="preserve">CJ X12 ACEITUNA VERDE XL X160 DP</t>
        </is>
      </c>
      <c r="C10" s="4">
        <v>12</v>
      </c>
      <c r="D10" s="5">
        <v>29856.75</v>
      </c>
      <c r="E10" s="5">
        <f>IF(C10&gt;0,D10/C10,"")</f>
        <v>2488.0625</v>
      </c>
    </row>
    <row r="11">
      <c r="A11" s="4">
        <v>101629</v>
      </c>
      <c r="B11" s="3" t="inlineStr">
        <is>
          <t xml:space="preserve">CJ X16 A VERDE DESC X80 DOY PACK</t>
        </is>
      </c>
      <c r="C11" s="4">
        <v>16</v>
      </c>
      <c r="D11" s="5">
        <v>14889.39</v>
      </c>
      <c r="E11" s="5">
        <f>IF(C11&gt;0,D11/C11,"")</f>
        <v>930.586875</v>
      </c>
    </row>
    <row r="12">
      <c r="A12" s="4">
        <v>103222</v>
      </c>
      <c r="B12" s="3" t="inlineStr">
        <is>
          <t xml:space="preserve">CJ X12 ACEITUNA NEGRA X180 DOY PACK</t>
        </is>
      </c>
      <c r="C12" s="4">
        <v>12</v>
      </c>
      <c r="D12" s="5">
        <v>19677.94</v>
      </c>
      <c r="E12" s="5">
        <f>IF(C12&gt;0,D12/C12,"")</f>
        <v>1639.8283333333331</v>
      </c>
    </row>
    <row r="13">
      <c r="A13" s="4">
        <v>103223</v>
      </c>
      <c r="B13" s="3" t="inlineStr">
        <is>
          <t xml:space="preserve">CJ X16 A NEGRA X100 DOY PACK</t>
        </is>
      </c>
      <c r="C13" s="4">
        <v>16</v>
      </c>
      <c r="D13" s="5">
        <v>24152.57</v>
      </c>
      <c r="E13" s="5">
        <f>IF(C13&gt;0,D13/C13,"")</f>
        <v>1509.535625</v>
      </c>
    </row>
    <row r="14">
      <c r="A14" s="4">
        <v>114210</v>
      </c>
      <c r="B14" s="3" t="inlineStr">
        <is>
          <t xml:space="preserve">CJ X 12 PEPINITOS X 140 DP</t>
        </is>
      </c>
      <c r="C14" s="4">
        <v>12</v>
      </c>
      <c r="D14" s="5">
        <v>27917.6</v>
      </c>
      <c r="E14" s="5">
        <f>IF(C14&gt;0,D14/C14,"")</f>
        <v>2326.4666666666667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>
        <v>12</v>
      </c>
      <c r="D16" s="5">
        <v>24255.66</v>
      </c>
      <c r="E16" s="5">
        <f>IF(C16&gt;0,D16/C16,"")</f>
        <v>2021.305</v>
      </c>
    </row>
    <row r="17">
      <c r="A17" s="4">
        <v>114613</v>
      </c>
      <c r="B17" s="3" t="inlineStr">
        <is>
          <t xml:space="preserve">CJ X16 A VERDE RELL X100 DOY PACK</t>
        </is>
      </c>
      <c r="C17" s="4">
        <v>16</v>
      </c>
      <c r="D17" s="5">
        <v>21749.41</v>
      </c>
      <c r="E17" s="5">
        <f>IF(C17&gt;0,D17/C17,"")</f>
        <v>1359.338125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>
        <v>12</v>
      </c>
      <c r="D18" s="5">
        <v>55444.91</v>
      </c>
      <c r="E18" s="5">
        <f>IF(C18&gt;0,D18/C18,"")</f>
        <v>4620.4091666666673</v>
      </c>
    </row>
    <row r="19">
      <c r="A19" s="4">
        <v>116012</v>
      </c>
      <c r="B19" s="3" t="inlineStr">
        <is>
          <t xml:space="preserve">CJ X 12 A VERDE PREMIUM VIDRIO x190</t>
        </is>
      </c>
      <c r="C19" s="4">
        <v>12</v>
      </c>
      <c r="D19" s="5">
        <v>59701.01</v>
      </c>
      <c r="E19" s="5">
        <f>IF(C19&gt;0,D19/C19,"")</f>
        <v>4975.0841666666665</v>
      </c>
    </row>
    <row r="20">
      <c r="A20" s="4">
        <v>116209</v>
      </c>
      <c r="B20" s="3" t="inlineStr">
        <is>
          <t xml:space="preserve">CJ X12 ACEITUNA VERDE DESC X150 DOY PACK</t>
        </is>
      </c>
      <c r="C20" s="4">
        <v>12</v>
      </c>
      <c r="D20" s="5">
        <v>15695.39</v>
      </c>
      <c r="E20" s="5">
        <f>IF(C20&gt;0,D20/C20,"")</f>
        <v>1307.9491666666665</v>
      </c>
    </row>
    <row r="21">
      <c r="A21" s="4">
        <v>116414</v>
      </c>
      <c r="B21" s="3" t="inlineStr">
        <is>
          <t xml:space="preserve">CJ X12 PICKLE X140 DOY PACK</t>
        </is>
      </c>
      <c r="C21" s="4">
        <v>12</v>
      </c>
      <c r="D21" s="5">
        <v>16819.53</v>
      </c>
      <c r="E21" s="5">
        <f>IF(C21&gt;0,D21/C21,"")</f>
        <v>1401.6274999999998</v>
      </c>
    </row>
    <row r="22">
      <c r="A22" s="4">
        <v>116915</v>
      </c>
      <c r="B22" s="3" t="inlineStr">
        <is>
          <t xml:space="preserve">CJ X 12 A VERDE ROD X 150 DP</t>
        </is>
      </c>
      <c r="C22" s="4">
        <v>12</v>
      </c>
      <c r="D22" s="5">
        <v>19433.86</v>
      </c>
      <c r="E22" s="5">
        <f>IF(C22&gt;0,D22/C22,"")</f>
        <v>1619.4883333333335</v>
      </c>
    </row>
    <row r="23">
      <c r="A23" s="4">
        <v>116916</v>
      </c>
      <c r="B23" s="3" t="inlineStr">
        <is>
          <t xml:space="preserve">CJ X 16 A VERDE ROD X80 DOYPACK</t>
        </is>
      </c>
      <c r="C23" s="4">
        <v>16</v>
      </c>
      <c r="D23" s="5">
        <v>16600.04</v>
      </c>
      <c r="E23" s="5">
        <f>IF(C23&gt;0,D23/C23,"")</f>
        <v>1037.5025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53795.58</v>
      </c>
      <c r="E5" s="5">
        <f>IF(C5&gt;0,D5/C5,"")</f>
        <v>4482.965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52127.08</v>
      </c>
      <c r="E10" s="5">
        <f>IF(C10&gt;0,D10/C10,"")</f>
        <v>8687.8466666666664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33809.24</v>
      </c>
      <c r="E11" s="5">
        <f>IF(C11&gt;0,D11/C11,"")</f>
        <v>5634.873333333333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47356.3</v>
      </c>
      <c r="E13" s="5">
        <f>IF(C13&gt;0,D13/C13,"")</f>
        <v>3946.3583333333336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93259.44</v>
      </c>
      <c r="E14" s="5">
        <f>IF(C14&gt;0,D14/C14,"")</f>
        <v>7771.62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130162.97</v>
      </c>
      <c r="E15" s="5">
        <f>IF(C15&gt;0,D15/C15,"")</f>
        <v>10846.914166666667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89503.94</v>
      </c>
      <c r="E16" s="5">
        <f>IF(C16&gt;0,D16/C16,"")</f>
        <v>7458.6616666666669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47047.7</v>
      </c>
      <c r="E20" s="5">
        <f>IF(C20&gt;0,D20/C20,"")</f>
        <v>1960.3208333333332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24</v>
      </c>
      <c r="D21" s="5">
        <v>47047.7</v>
      </c>
      <c r="E21" s="5">
        <f>IF(C21&gt;0,D21/C21,"")</f>
        <v>1960.3208333333332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77665.22</v>
      </c>
      <c r="E22" s="5">
        <f>IF(C22&gt;0,D22/C22,"")</f>
        <v>12944.203333333333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39717.6</v>
      </c>
      <c r="E23" s="5">
        <f>IF(C23&gt;0,D23/C23,"")</f>
        <v>1654.8999999999999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58744.22</v>
      </c>
      <c r="E24" s="5">
        <f>IF(C24&gt;0,D24/C24,"")</f>
        <v>9790.7033333333329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24240.38</v>
      </c>
      <c r="E25" s="5">
        <f>IF(C25&gt;0,D25/C25,"")</f>
        <v>2020.0316666666668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24240.38</v>
      </c>
      <c r="E26" s="5">
        <f>IF(C26&gt;0,D26/C26,"")</f>
        <v>2020.0316666666668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24240.38</v>
      </c>
      <c r="E27" s="5">
        <f>IF(C27&gt;0,D27/C27,"")</f>
        <v>2020.0316666666668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24240.38</v>
      </c>
      <c r="E28" s="5">
        <f>IF(C28&gt;0,D28/C28,"")</f>
        <v>2020.0316666666668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24240.38</v>
      </c>
      <c r="E29" s="5">
        <f>IF(C29&gt;0,D29/C29,"")</f>
        <v>2020.0316666666668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41910.99</v>
      </c>
      <c r="E30" s="5">
        <f>IF(C30&gt;0,D30/C30,"")</f>
        <v>3492.5825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41910.99</v>
      </c>
      <c r="E31" s="5">
        <f>IF(C31&gt;0,D31/C31,"")</f>
        <v>3492.5825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41910.99</v>
      </c>
      <c r="E32" s="5">
        <f>IF(C32&gt;0,D32/C32,"")</f>
        <v>3492.5825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41910.99</v>
      </c>
      <c r="E33" s="5">
        <f>IF(C33&gt;0,D33/C33,"")</f>
        <v>3492.5825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41910.99</v>
      </c>
      <c r="E34" s="5">
        <f>IF(C34&gt;0,D34/C34,"")</f>
        <v>3492.5825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41910.99</v>
      </c>
      <c r="E35" s="5">
        <f>IF(C35&gt;0,D35/C35,"")</f>
        <v>3492.5825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46766.89</v>
      </c>
      <c r="E36" s="5">
        <f>IF(C36&gt;0,D36/C36,"")</f>
        <v>1948.6204166666666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46766.89</v>
      </c>
      <c r="E37" s="5">
        <f>IF(C37&gt;0,D37/C37,"")</f>
        <v>1948.6204166666666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46766.89</v>
      </c>
      <c r="E38" s="5">
        <f>IF(C38&gt;0,D38/C38,"")</f>
        <v>1948.6204166666666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46766.89</v>
      </c>
      <c r="E39" s="5">
        <f>IF(C39&gt;0,D39/C39,"")</f>
        <v>1948.6204166666666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46766.89</v>
      </c>
      <c r="E40" s="5">
        <f>IF(C40&gt;0,D40/C40,"")</f>
        <v>1948.6204166666666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55549.19</v>
      </c>
      <c r="E41" s="5">
        <f>IF(C41&gt;0,D41/C41,"")</f>
        <v>9258.1983333333337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54553.91</v>
      </c>
      <c r="E42" s="5">
        <f>IF(C42&gt;0,D42/C42,"")</f>
        <v>2273.0795833333336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119225.45</v>
      </c>
      <c r="E43" s="5">
        <f>IF(C43&gt;0,D43/C43,"")</f>
        <v>9935.4541666666664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24240.38</v>
      </c>
      <c r="E44" s="5">
        <f>IF(C44&gt;0,D44/C44,"")</f>
        <v>2020.0316666666668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24240.38</v>
      </c>
      <c r="E45" s="5">
        <f>IF(C45&gt;0,D45/C45,"")</f>
        <v>2020.0316666666668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46766.89</v>
      </c>
      <c r="E46" s="5">
        <f>IF(C46&gt;0,D46/C46,"")</f>
        <v>1948.6204166666666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24240.38</v>
      </c>
      <c r="E47" s="5">
        <f>IF(C47&gt;0,D47/C47,"")</f>
        <v>2020.0316666666668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24240.38</v>
      </c>
      <c r="E48" s="5">
        <f>IF(C48&gt;0,D48/C48,"")</f>
        <v>2020.0316666666668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24240.38</v>
      </c>
      <c r="E49" s="5">
        <f>IF(C49&gt;0,D49/C49,"")</f>
        <v>2020.0316666666668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24240.38</v>
      </c>
      <c r="E50" s="5">
        <f>IF(C50&gt;0,D50/C50,"")</f>
        <v>2020.0316666666668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24240.38</v>
      </c>
      <c r="E51" s="5">
        <f>IF(C51&gt;0,D51/C51,"")</f>
        <v>2020.0316666666668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24240.38</v>
      </c>
      <c r="E52" s="5">
        <f>IF(C52&gt;0,D52/C52,"")</f>
        <v>2020.0316666666668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24240.38</v>
      </c>
      <c r="E53" s="5">
        <f>IF(C53&gt;0,D53/C53,"")</f>
        <v>2020.0316666666668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24240.38</v>
      </c>
      <c r="E54" s="5">
        <f>IF(C54&gt;0,D54/C54,"")</f>
        <v>2020.0316666666668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36159.65</v>
      </c>
      <c r="E56" s="5">
        <f>IF(C56&gt;0,D56/C56,"")</f>
        <v>3013.3041666666668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14468.8</v>
      </c>
      <c r="E57" s="5">
        <f>IF(C57&gt;0,D57/C57,"")</f>
        <v>1205.7333333333333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14468.8</v>
      </c>
      <c r="E58" s="5">
        <f>IF(C58&gt;0,D58/C58,"")</f>
        <v>1205.7333333333333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14468.8</v>
      </c>
      <c r="E59" s="5">
        <f>IF(C59&gt;0,D59/C59,"")</f>
        <v>1205.7333333333333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14468.8</v>
      </c>
      <c r="E60" s="5">
        <f>IF(C60&gt;0,D60/C60,"")</f>
        <v>1205.7333333333333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14468.8</v>
      </c>
      <c r="E61" s="5">
        <f>IF(C61&gt;0,D61/C61,"")</f>
        <v>1205.7333333333333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42961.18</v>
      </c>
      <c r="E63" s="5">
        <f>IF(C63&gt;0,D63/C63,"")</f>
        <v>1790.0491666666667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41910.99</v>
      </c>
      <c r="E65" s="5">
        <f>IF(C65&gt;0,D65/C65,"")</f>
        <v>3492.5825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39014996</v>
      </c>
      <c r="B67" s="3" t="inlineStr">
        <is>
          <t xml:space="preserve">Martini Rosso 16° 12x995ml</t>
        </is>
      </c>
      <c r="C67" s="4">
        <v>12</v>
      </c>
      <c r="D67" s="5">
        <v>93259.44</v>
      </c>
      <c r="E67" s="5">
        <f>IF(C67&gt;0,D67/C67,"")</f>
        <v>7771.62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>
        <v>24</v>
      </c>
      <c r="D4" s="5">
        <v>71089.92</v>
      </c>
      <c r="E4" s="5">
        <f>IF(C4&gt;0,D4/C4,"")</f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>
        <v>24</v>
      </c>
      <c r="D5" s="5">
        <v>49515.52</v>
      </c>
      <c r="E5" s="5">
        <f>IF(C5&gt;0,D5/C5,"")</f>
        <v>2063.1466666666665</v>
      </c>
    </row>
    <row r="6">
      <c r="A6" s="4">
        <v>233415</v>
      </c>
      <c r="B6" s="3" t="inlineStr">
        <is>
          <t xml:space="preserve">AVENA TRADICIONAL NF 24X300GR</t>
        </is>
      </c>
      <c r="C6" s="4">
        <v>24</v>
      </c>
      <c r="D6" s="5">
        <v>36251.21</v>
      </c>
      <c r="E6" s="5">
        <f>IF(C6&gt;0,D6/C6,"")</f>
        <v>1510.4670833333332</v>
      </c>
    </row>
    <row r="7">
      <c r="A7" s="4">
        <v>233440</v>
      </c>
      <c r="B7" s="3" t="inlineStr">
        <is>
          <t xml:space="preserve">BOLITA DE CHOCO NUTRI CHOK 20X200GR</t>
        </is>
      </c>
      <c r="C7" s="4">
        <v>20</v>
      </c>
      <c r="D7" s="5">
        <v>38115</v>
      </c>
      <c r="E7" s="5">
        <f>IF(C7&gt;0,D7/C7,"")</f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>
        <v>20</v>
      </c>
      <c r="D8" s="5">
        <v>28979.26</v>
      </c>
      <c r="E8" s="5">
        <f>IF(C8&gt;0,D8/C8,"")</f>
        <v>1448.963</v>
      </c>
    </row>
    <row r="9">
      <c r="A9" s="4">
        <v>233442</v>
      </c>
      <c r="B9" s="3" t="inlineStr">
        <is>
          <t xml:space="preserve">COPO AZUC FLAKES NUTRIFO 20X200 A</t>
        </is>
      </c>
      <c r="C9" s="4">
        <v>20</v>
      </c>
      <c r="D9" s="5">
        <v>27689.16</v>
      </c>
      <c r="E9" s="5">
        <f>IF(C9&gt;0,D9/C9,"")</f>
        <v>1384.458</v>
      </c>
    </row>
    <row r="10">
      <c r="A10" s="4">
        <v>233445</v>
      </c>
      <c r="B10" s="3" t="inlineStr">
        <is>
          <t xml:space="preserve">COPOS DE MAIZ NF 20X150GR</t>
        </is>
      </c>
      <c r="C10" s="4">
        <v>20</v>
      </c>
      <c r="D10" s="5">
        <v>29886.52</v>
      </c>
      <c r="E10" s="5">
        <f>IF(C10&gt;0,D10/C10,"")</f>
        <v>1494.326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>
        <v>12</v>
      </c>
      <c r="D4" s="5">
        <v>17690.88</v>
      </c>
      <c r="E4" s="5">
        <f>IF(C4&gt;0,D4/C4,"")</f>
        <v>1474.24</v>
      </c>
    </row>
    <row r="5">
      <c r="A5" s="4">
        <v>23411</v>
      </c>
      <c r="B5" s="3" t="inlineStr">
        <is>
          <t xml:space="preserve">TODDY CACAO EXTREMO 360GR</t>
        </is>
      </c>
      <c r="C5" s="4">
        <v>14</v>
      </c>
      <c r="D5" s="5">
        <v>41113.72</v>
      </c>
      <c r="E5" s="5">
        <f>IF(C5&gt;0,D5/C5,"")</f>
        <v>2936.6942857142858</v>
      </c>
    </row>
    <row r="6">
      <c r="A6" s="4">
        <v>23421</v>
      </c>
      <c r="B6" s="3" t="inlineStr">
        <is>
          <t xml:space="preserve">TODDY CACAO EXTREMO 8X800GR</t>
        </is>
      </c>
      <c r="C6" s="4">
        <v>8</v>
      </c>
      <c r="D6" s="5">
        <v>48149.68</v>
      </c>
      <c r="E6" s="5">
        <f>IF(C6&gt;0,D6/C6,"")</f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>
        <v>20</v>
      </c>
      <c r="D12" s="5">
        <v>36310.41</v>
      </c>
      <c r="E12" s="5">
        <f>IF(C12&gt;0,D12/C12,"")</f>
        <v>1815.5205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>
        <v>12</v>
      </c>
      <c r="D14" s="5">
        <v>78408.44</v>
      </c>
      <c r="E14" s="5">
        <f>IF(C14&gt;0,D14/C14,"")</f>
        <v>6534.0366666666669</v>
      </c>
    </row>
    <row r="15">
      <c r="A15" s="4">
        <v>233266</v>
      </c>
      <c r="B15" s="3" t="inlineStr">
        <is>
          <t xml:space="preserve">FLYNN PAFF EST UVA 12X8GR</t>
        </is>
      </c>
      <c r="C15" s="4">
        <v>12</v>
      </c>
      <c r="D15" s="5">
        <v>78408.44</v>
      </c>
      <c r="E15" s="5">
        <f>IF(C15&gt;0,D15/C15,"")</f>
        <v>6534.0366666666669</v>
      </c>
    </row>
    <row r="16">
      <c r="A16" s="4">
        <v>233273</v>
      </c>
      <c r="B16" s="3" t="inlineStr">
        <is>
          <t xml:space="preserve">FLYNN PAFF EST TUTTI FRUTTI 12X8GR</t>
        </is>
      </c>
      <c r="C16" s="4">
        <v>12</v>
      </c>
      <c r="D16" s="5">
        <v>78408.44</v>
      </c>
      <c r="E16" s="5">
        <f>IF(C16&gt;0,D16/C16,"")</f>
        <v>6534.0366666666669</v>
      </c>
    </row>
    <row r="17">
      <c r="A17" s="4">
        <v>233282</v>
      </c>
      <c r="B17" s="3" t="inlineStr">
        <is>
          <t xml:space="preserve">FLYNN PAFF CONFITADOS 1X50GR</t>
        </is>
      </c>
      <c r="C17" s="4">
        <v>30</v>
      </c>
      <c r="D17" s="5">
        <v>26848.93</v>
      </c>
      <c r="E17" s="5">
        <f>IF(C17&gt;0,D17/C17,"")</f>
        <v>894.96433333333334</v>
      </c>
    </row>
    <row r="18">
      <c r="A18" s="4">
        <v>233284</v>
      </c>
      <c r="B18" s="3" t="inlineStr">
        <is>
          <t xml:space="preserve">FLYNN PAFF EST MANZANA 12X8GR</t>
        </is>
      </c>
      <c r="C18" s="4">
        <v>12</v>
      </c>
      <c r="D18" s="5">
        <v>78408.44</v>
      </c>
      <c r="E18" s="5">
        <f>IF(C18&gt;0,D18/C18,"")</f>
        <v>6534.0366666666669</v>
      </c>
    </row>
    <row r="19">
      <c r="A19" s="4">
        <v>233285</v>
      </c>
      <c r="B19" s="3" t="inlineStr">
        <is>
          <t xml:space="preserve">FLYNN PAFF EST FRUTILLA 12X8GR</t>
        </is>
      </c>
      <c r="C19" s="4">
        <v>12</v>
      </c>
      <c r="D19" s="5">
        <v>6534.04</v>
      </c>
      <c r="E19" s="5">
        <f>IF(C19&gt;0,D19/C19,"")</f>
        <v>544.50333333333333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>
        <v>12</v>
      </c>
      <c r="D24" s="5">
        <v>105771.09</v>
      </c>
      <c r="E24" s="5">
        <f>IF(C24&gt;0,D24/C24,"")</f>
        <v>8814.2575</v>
      </c>
    </row>
    <row r="25">
      <c r="A25" s="4">
        <v>233514</v>
      </c>
      <c r="B25" s="3" t="inlineStr">
        <is>
          <t xml:space="preserve">CHOCOLATÍN CON LECHE 8 GR</t>
        </is>
      </c>
      <c r="C25" s="4">
        <v>12</v>
      </c>
      <c r="D25" s="5">
        <v>105771.09</v>
      </c>
      <c r="E25" s="5">
        <f>IF(C25&gt;0,D25/C25,"")</f>
        <v>8814.2575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>
        <v>12</v>
      </c>
      <c r="D28" s="5">
        <v>231161.16</v>
      </c>
      <c r="E28" s="5">
        <f>IF(C28&gt;0,D28/C28,"")</f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>
        <v>24</v>
      </c>
      <c r="D33" s="5">
        <v>109914.66</v>
      </c>
      <c r="E33" s="5">
        <f>IF(C33&gt;0,D33/C33,"")</f>
        <v>4579.7775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>
        <v>36</v>
      </c>
      <c r="D37" s="5">
        <v>52677.98</v>
      </c>
      <c r="E37" s="5">
        <f>IF(C37&gt;0,D37/C37,"")</f>
        <v>1463.2772222222222</v>
      </c>
    </row>
    <row r="38">
      <c r="A38" s="4">
        <v>2331206</v>
      </c>
      <c r="B38" s="3" t="inlineStr">
        <is>
          <t xml:space="preserve">TURRÓN DE MANÍ CON FRUTAS</t>
        </is>
      </c>
      <c r="C38" s="4">
        <v>24</v>
      </c>
      <c r="D38" s="5">
        <v>47902.06</v>
      </c>
      <c r="E38" s="5">
        <f>IF(C38&gt;0,D38/C38,"")</f>
        <v>1995.9191666666666</v>
      </c>
    </row>
    <row r="39">
      <c r="A39" s="4">
        <v>2331207</v>
      </c>
      <c r="B39" s="3" t="inlineStr">
        <is>
          <t xml:space="preserve">TABLETA CROCANTE DE MANÍ 24x150gr</t>
        </is>
      </c>
      <c r="C39" s="4">
        <v>24</v>
      </c>
      <c r="D39" s="5">
        <v>55303.78</v>
      </c>
      <c r="E39" s="5">
        <f>IF(C39&gt;0,D39/C39,"")</f>
        <v>2304.3241666666668</v>
      </c>
    </row>
    <row r="40">
      <c r="A40" s="4">
        <v>2331210</v>
      </c>
      <c r="B40" s="3" t="inlineStr">
        <is>
          <t xml:space="preserve">TURRON DE MANI CON MIEL 24X120GR</t>
        </is>
      </c>
      <c r="C40" s="4">
        <v>24</v>
      </c>
      <c r="D40" s="5">
        <v>35184.86</v>
      </c>
      <c r="E40" s="5">
        <f>IF(C40&gt;0,D40/C40,"")</f>
        <v>1466.0358333333334</v>
      </c>
    </row>
    <row r="41">
      <c r="A41" s="4">
        <v>2331212</v>
      </c>
      <c r="B41" s="3" t="inlineStr">
        <is>
          <t xml:space="preserve">TURRÓN DE MANÍ CON MIEL 1X36X80G</t>
        </is>
      </c>
      <c r="C41" s="4">
        <v>36</v>
      </c>
      <c r="D41" s="5">
        <v>36412.24</v>
      </c>
      <c r="E41" s="5">
        <f>IF(C41&gt;0,D41/C41,"")</f>
        <v>1011.451111111111</v>
      </c>
    </row>
    <row r="42">
      <c r="A42" s="4">
        <v>2331213</v>
      </c>
      <c r="B42" s="3" t="inlineStr">
        <is>
          <t xml:space="preserve">TABLETA CROCANTE DE MANÍ 36x80gr</t>
        </is>
      </c>
      <c r="C42" s="4">
        <v>36</v>
      </c>
      <c r="D42" s="5">
        <v>42660.05</v>
      </c>
      <c r="E42" s="5">
        <f>IF(C42&gt;0,D42/C42,"")</f>
        <v>1185.0013888888889</v>
      </c>
    </row>
    <row r="43">
      <c r="A43" s="4">
        <v>2331223</v>
      </c>
      <c r="B43" s="3" t="inlineStr">
        <is>
          <t xml:space="preserve">POCHOCLOS DULCE BIGGYS 20X100GR</t>
        </is>
      </c>
      <c r="C43" s="4">
        <v>20</v>
      </c>
      <c r="D43" s="5">
        <v>34589.3</v>
      </c>
      <c r="E43" s="5">
        <f>IF(C43&gt;0,D43/C43,"")</f>
        <v>1729.4650000000001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>
        <v>20</v>
      </c>
      <c r="D46" s="5">
        <v>41386.36</v>
      </c>
      <c r="E46" s="5">
        <f>IF(C46&gt;0,D46/C46,"")</f>
        <v>2069.318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>
        <v>20</v>
      </c>
      <c r="D47" s="5">
        <v>40079.56</v>
      </c>
      <c r="E47" s="5">
        <f>IF(C47&gt;0,D47/C47,"")</f>
        <v>2003.9779999999998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>
        <v>36</v>
      </c>
      <c r="D51" s="5">
        <v>47480.4</v>
      </c>
      <c r="E51" s="5">
        <f>IF(C51&gt;0,D51/C51,"")</f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>
        <v>24</v>
      </c>
      <c r="D52" s="5">
        <v>76490.49</v>
      </c>
      <c r="E52" s="5">
        <f>IF(C52&gt;0,D52/C52,"")</f>
        <v>3187.10375</v>
      </c>
    </row>
    <row r="53">
      <c r="A53" s="4">
        <v>2331429</v>
      </c>
      <c r="B53" s="3" t="inlineStr">
        <is>
          <t xml:space="preserve">GARAPIÑADAS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GARAPIÑADA DE MANI NAMUR 36X60GR</t>
        </is>
      </c>
      <c r="C54" s="4">
        <v>36</v>
      </c>
      <c r="D54" s="5">
        <v>21750.38</v>
      </c>
      <c r="E54" s="5">
        <f>IF(C54&gt;0,D54/C54,"")</f>
        <v>604.17722222222221</v>
      </c>
    </row>
    <row r="55">
      <c r="A55" s="4">
        <v>2331486</v>
      </c>
      <c r="B55" s="3" t="inlineStr">
        <is>
          <t xml:space="preserve">SIN AZUC CHOCO RELL YOG FRUT 30GR</t>
        </is>
      </c>
      <c r="C55" s="4">
        <v>12</v>
      </c>
      <c r="D55" s="5">
        <v>231161.16</v>
      </c>
      <c r="E55" s="5">
        <f>IF(C55&gt;0,D55/C55,"")</f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>
        <v>8</v>
      </c>
      <c r="D60" s="5">
        <v>59696.95</v>
      </c>
      <c r="E60" s="5">
        <f>IF(C60&gt;0,D60/C60,"")</f>
        <v>7462.11875</v>
      </c>
    </row>
    <row r="61">
      <c r="A61" s="4">
        <v>2331594</v>
      </c>
      <c r="B61" s="3" t="inlineStr">
        <is>
          <t xml:space="preserve">FLYNN PAFF BOLSA TUTTI FRUT  36X8GR</t>
        </is>
      </c>
      <c r="C61" s="4">
        <v>36</v>
      </c>
      <c r="D61" s="5">
        <v>69747.4</v>
      </c>
      <c r="E61" s="5">
        <f>IF(C61&gt;0,D61/C61,"")</f>
        <v>1937.4277777777777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>
        <v>24</v>
      </c>
      <c r="D62" s="5">
        <v>83141.52</v>
      </c>
      <c r="E62" s="5">
        <f>IF(C62&gt;0,D62/C62,"")</f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>
        <v>36</v>
      </c>
      <c r="D69" s="5">
        <v>25062.25</v>
      </c>
      <c r="E69" s="5">
        <f>IF(C69&gt;0,D69/C69,"")</f>
        <v>696.17361111111109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>
        <v>21</v>
      </c>
      <c r="D74" s="5">
        <v>31851.44</v>
      </c>
      <c r="E74" s="5">
        <f>IF(C74&gt;0,D74/C74,"")</f>
        <v>1516.7352380952379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>
        <v>16</v>
      </c>
      <c r="D79" s="5">
        <v>43947.59</v>
      </c>
      <c r="E79" s="5">
        <f>IF(C79&gt;0,D79/C79,"")</f>
        <v>2746.724375</v>
      </c>
    </row>
    <row r="80">
      <c r="A80" s="4">
        <v>2331982</v>
      </c>
      <c r="B80" s="3" t="inlineStr">
        <is>
          <t xml:space="preserve">CEREAL  FLYNN PAFF CARAM 200GR</t>
        </is>
      </c>
      <c r="C80" s="4">
        <v>16</v>
      </c>
      <c r="D80" s="5">
        <v>41137.68</v>
      </c>
      <c r="E80" s="5">
        <f>IF(C80&gt;0,D80/C80,"")</f>
        <v>2571.105</v>
      </c>
    </row>
    <row r="81">
      <c r="A81" s="4">
        <v>2331983</v>
      </c>
      <c r="B81" s="3" t="inlineStr">
        <is>
          <t xml:space="preserve">FLOW GRANOLA CHOCO 20X320GR</t>
        </is>
      </c>
      <c r="C81" s="4">
        <v>20</v>
      </c>
      <c r="D81" s="5">
        <v>76463.77</v>
      </c>
      <c r="E81" s="5">
        <f>IF(C81&gt;0,D81/C81,"")</f>
        <v>3823.1885</v>
      </c>
    </row>
    <row r="82">
      <c r="A82" s="4">
        <v>2331984</v>
      </c>
      <c r="B82" s="3" t="inlineStr">
        <is>
          <t xml:space="preserve">MANTECOL ALMOHADITAS 16X180GR</t>
        </is>
      </c>
      <c r="C82" s="4">
        <v>16</v>
      </c>
      <c r="D82" s="5">
        <v>43947.59</v>
      </c>
      <c r="E82" s="5">
        <f>IF(C82&gt;0,D82/C82,"")</f>
        <v>2746.724375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>
        <v>16</v>
      </c>
      <c r="D83" s="5">
        <v>43947.59</v>
      </c>
      <c r="E83" s="5">
        <f>IF(C83&gt;0,D83/C83,"")</f>
        <v>2746.724375</v>
      </c>
    </row>
    <row r="84">
      <c r="A84" s="4">
        <v>2331988</v>
      </c>
      <c r="B84" s="3" t="inlineStr">
        <is>
          <t xml:space="preserve">FLOW CEREAL HONEY CRUNCH 16X180G</t>
        </is>
      </c>
      <c r="C84" s="4">
        <v>16</v>
      </c>
      <c r="D84" s="5">
        <v>31946.52</v>
      </c>
      <c r="E84" s="5">
        <f>IF(C84&gt;0,D84/C84,"")</f>
        <v>1996.6575</v>
      </c>
    </row>
    <row r="85">
      <c r="A85" s="4">
        <v>2332000</v>
      </c>
      <c r="B85" s="3" t="inlineStr">
        <is>
          <t xml:space="preserve">FLOW BARR GRAN C/CHIPS CHO 20X23GR</t>
        </is>
      </c>
      <c r="C85" s="4">
        <v>6</v>
      </c>
      <c r="D85" s="5">
        <v>78992.07</v>
      </c>
      <c r="E85" s="5">
        <f>IF(C85&gt;0,D85/C85,"")</f>
        <v>13165.345000000001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>
        <v>6</v>
      </c>
      <c r="D87" s="5">
        <v>78992.07</v>
      </c>
      <c r="E87" s="5">
        <f>IF(C87&gt;0,D87/C87,"")</f>
        <v>13165.345000000001</v>
      </c>
    </row>
    <row r="88">
      <c r="A88" s="4">
        <v>2332004</v>
      </c>
      <c r="B88" s="3" t="inlineStr">
        <is>
          <t xml:space="preserve">FLOW BARR FRU D/ BOS C/YOG 20X27GR</t>
        </is>
      </c>
      <c r="C88" s="4">
        <v>6</v>
      </c>
      <c r="D88" s="5">
        <v>78992.07</v>
      </c>
      <c r="E88" s="5">
        <f>IF(C88&gt;0,D88/C88,"")</f>
        <v>13165.345000000001</v>
      </c>
    </row>
    <row r="89">
      <c r="A89" s="4">
        <v>2332005</v>
      </c>
      <c r="B89" s="3" t="inlineStr">
        <is>
          <t xml:space="preserve">FLOW BARRA MANZANA LIGHT 20X21GR</t>
        </is>
      </c>
      <c r="C89" s="4">
        <v>6</v>
      </c>
      <c r="D89" s="5">
        <v>78992.07</v>
      </c>
      <c r="E89" s="5">
        <f>IF(C89&gt;0,D89/C89,"")</f>
        <v>13165.345000000001</v>
      </c>
    </row>
    <row r="90">
      <c r="A90" s="4">
        <v>2332006</v>
      </c>
      <c r="B90" s="3" t="inlineStr">
        <is>
          <t xml:space="preserve">FLOW BARRA CON FRUTAS 20X23GR</t>
        </is>
      </c>
      <c r="C90" s="4">
        <v>6</v>
      </c>
      <c r="D90" s="5">
        <v>78992.07</v>
      </c>
      <c r="E90" s="5">
        <f>IF(C90&gt;0,D90/C90,"")</f>
        <v>13165.345000000001</v>
      </c>
    </row>
    <row r="91">
      <c r="A91" s="4">
        <v>2332017</v>
      </c>
      <c r="B91" s="3" t="inlineStr">
        <is>
          <t xml:space="preserve">FLOW BARRA YOGHURT LIGHT 24GR</t>
        </is>
      </c>
      <c r="C91" s="4">
        <v>6</v>
      </c>
      <c r="D91" s="5">
        <v>78992.07</v>
      </c>
      <c r="E91" s="5">
        <f>IF(C91&gt;0,D91/C91,"")</f>
        <v>13165.345000000001</v>
      </c>
    </row>
    <row r="92">
      <c r="A92" s="4">
        <v>2332023</v>
      </c>
      <c r="B92" s="3" t="inlineStr">
        <is>
          <t xml:space="preserve">FLOW BARRA ALMEN ENTERAS 30GR</t>
        </is>
      </c>
      <c r="C92" s="4">
        <v>6</v>
      </c>
      <c r="D92" s="5">
        <v>93418.99</v>
      </c>
      <c r="E92" s="5">
        <f>IF(C92&gt;0,D92/C92,"")</f>
        <v>15569.831666666667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>
        <v>6</v>
      </c>
      <c r="D103" s="5">
        <v>78992.07</v>
      </c>
      <c r="E103" s="5">
        <f>IF(C103&gt;0,D103/C103,"")</f>
        <v>13165.345000000001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>
        <v>36</v>
      </c>
      <c r="D114" s="5">
        <v>30742.03</v>
      </c>
      <c r="E114" s="5">
        <f>IF(C114&gt;0,D114/C114,"")</f>
        <v>853.94527777777773</v>
      </c>
    </row>
    <row r="115">
      <c r="A115" s="4">
        <v>2332357</v>
      </c>
      <c r="B115" s="3" t="inlineStr">
        <is>
          <t xml:space="preserve">TODDY ALFAJOR MOUSSE 24X 50GR</t>
        </is>
      </c>
      <c r="C115" s="4">
        <v>24</v>
      </c>
      <c r="D115" s="5">
        <v>20766.79</v>
      </c>
      <c r="E115" s="5">
        <f>IF(C115&gt;0,D115/C115,"")</f>
        <v>865.28291666666667</v>
      </c>
    </row>
    <row r="116">
      <c r="A116" s="4">
        <v>2332358</v>
      </c>
      <c r="B116" s="3" t="inlineStr">
        <is>
          <t xml:space="preserve">TODDY  POLVO S/ AZÚCAR 1X12 X150gr</t>
        </is>
      </c>
      <c r="C116" s="4">
        <v>12</v>
      </c>
      <c r="D116" s="5">
        <v>9495.21</v>
      </c>
      <c r="E116" s="5">
        <f>IF(C116&gt;0,D116/C116,"")</f>
        <v>791.26749999999993</v>
      </c>
    </row>
    <row r="117">
      <c r="A117" s="4">
        <v>2332359</v>
      </c>
      <c r="B117" s="3" t="inlineStr">
        <is>
          <t xml:space="preserve">TODDY CACAO AVELLANAS 12X150G</t>
        </is>
      </c>
      <c r="C117" s="4">
        <v>12</v>
      </c>
      <c r="D117" s="5">
        <v>17690.88</v>
      </c>
      <c r="E117" s="5">
        <f>IF(C117&gt;0,D117/C117,"")</f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>
        <v>24</v>
      </c>
      <c r="D118" s="5">
        <v>20766.79</v>
      </c>
      <c r="E118" s="5">
        <f>IF(C118&gt;0,D118/C118,"")</f>
        <v>865.28291666666667</v>
      </c>
    </row>
    <row r="119">
      <c r="A119" s="4">
        <v>2332375</v>
      </c>
      <c r="B119" s="3" t="inlineStr">
        <is>
          <t xml:space="preserve">TODDY ALFAJOR TRIPLE MOUSSE</t>
        </is>
      </c>
      <c r="C119" s="4">
        <v>20</v>
      </c>
      <c r="D119" s="5">
        <v>25402.5</v>
      </c>
      <c r="E119" s="5">
        <f>IF(C119&gt;0,D119/C119,"")</f>
        <v>1270.125</v>
      </c>
    </row>
    <row r="120">
      <c r="A120" s="4">
        <v>2332376</v>
      </c>
      <c r="B120" s="3" t="inlineStr">
        <is>
          <t xml:space="preserve">TODDY GALLETAS OBLEAS 40ux85gr</t>
        </is>
      </c>
      <c r="C120" s="4">
        <v>40</v>
      </c>
      <c r="D120" s="5">
        <v>45280.62</v>
      </c>
      <c r="E120" s="5">
        <f>IF(C120&gt;0,D120/C120,"")</f>
        <v>1132.0155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>
        <v>12</v>
      </c>
      <c r="D123" s="5">
        <v>196267.42</v>
      </c>
      <c r="E123" s="5">
        <f>IF(C123&gt;0,D123/C123,"")</f>
        <v>16355.618333333334</v>
      </c>
    </row>
    <row r="124">
      <c r="A124" s="4">
        <v>2332421</v>
      </c>
      <c r="B124" s="3" t="inlineStr">
        <is>
          <t xml:space="preserve">COLMENITA CHOCO BLANCO  25GR</t>
        </is>
      </c>
      <c r="C124" s="4">
        <v>12</v>
      </c>
      <c r="D124" s="5">
        <v>196267.42</v>
      </c>
      <c r="E124" s="5">
        <f>IF(C124&gt;0,D124/C124,"")</f>
        <v>16355.618333333334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>
        <v>4</v>
      </c>
      <c r="D130" s="5">
        <v>149431.71</v>
      </c>
      <c r="E130" s="5">
        <f>IF(C130&gt;0,D130/C130,"")</f>
        <v>37357.9275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>
        <v>10</v>
      </c>
      <c r="D134" s="5">
        <v>215332.33</v>
      </c>
      <c r="E134" s="5">
        <f>IF(C134&gt;0,D134/C134,"")</f>
        <v>21533.233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>
        <v>20</v>
      </c>
      <c r="D136" s="5">
        <v>68579.9</v>
      </c>
      <c r="E136" s="5">
        <f>IF(C136&gt;0,D136/C136,"")</f>
        <v>3428.995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>
        <v>10</v>
      </c>
      <c r="D137" s="5">
        <v>20740.61</v>
      </c>
      <c r="E137" s="5">
        <f>IF(C137&gt;0,D137/C137,"")</f>
        <v>2074.061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>
        <v>10</v>
      </c>
      <c r="D138" s="5">
        <v>20740.61</v>
      </c>
      <c r="E138" s="5">
        <f>IF(C138&gt;0,D138/C138,"")</f>
        <v>2074.061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>
        <v>10</v>
      </c>
      <c r="D139" s="5">
        <v>20740.61</v>
      </c>
      <c r="E139" s="5">
        <f>IF(C139&gt;0,D139/C139,"")</f>
        <v>2074.061</v>
      </c>
    </row>
    <row r="140">
      <c r="A140" s="4">
        <v>2332516</v>
      </c>
      <c r="B140" s="3" t="inlineStr">
        <is>
          <t xml:space="preserve">FULL MANI CHOCOLATE 12DX24UX13GR</t>
        </is>
      </c>
      <c r="C140" s="4">
        <v>12</v>
      </c>
      <c r="D140" s="5">
        <v>132980.69</v>
      </c>
      <c r="E140" s="5">
        <f>IF(C140&gt;0,D140/C140,"")</f>
        <v>11081.724166666667</v>
      </c>
    </row>
    <row r="141">
      <c r="A141" s="4">
        <v>2332517</v>
      </c>
      <c r="B141" s="3" t="inlineStr">
        <is>
          <t xml:space="preserve">FULL MANI CHOCOLATE 8DX15UX30G</t>
        </is>
      </c>
      <c r="C141" s="4">
        <v>8</v>
      </c>
      <c r="D141" s="5">
        <v>115059.87</v>
      </c>
      <c r="E141" s="5">
        <f>IF(C141&gt;0,D141/C141,"")</f>
        <v>14382.48375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>
        <v>24</v>
      </c>
      <c r="D143" s="5">
        <v>15587.8</v>
      </c>
      <c r="E143" s="5">
        <f>IF(C143&gt;0,D143/C143,"")</f>
        <v>649.49166666666667</v>
      </c>
    </row>
    <row r="144">
      <c r="A144" s="4">
        <v>2332524</v>
      </c>
      <c r="B144" s="3" t="inlineStr">
        <is>
          <t xml:space="preserve">TODDY CUBANITO 12DX40UX10G</t>
        </is>
      </c>
      <c r="C144" s="4">
        <v>12</v>
      </c>
      <c r="D144" s="5">
        <v>125447.28</v>
      </c>
      <c r="E144" s="5">
        <f>IF(C144&gt;0,D144/C144,"")</f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>
        <v>8</v>
      </c>
      <c r="D145" s="5">
        <v>121115.68</v>
      </c>
      <c r="E145" s="5">
        <f>IF(C145&gt;0,D145/C145,"")</f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>
        <v>8</v>
      </c>
      <c r="D146" s="5">
        <v>74209.88</v>
      </c>
      <c r="E146" s="5">
        <f>IF(C146&gt;0,D146/C146,"")</f>
        <v>9276.235</v>
      </c>
    </row>
    <row r="147">
      <c r="A147" s="4">
        <v>2332636</v>
      </c>
      <c r="B147" s="3" t="inlineStr">
        <is>
          <t xml:space="preserve">MANTECOL LINGOTE 500GR</t>
        </is>
      </c>
      <c r="C147" s="4">
        <v>8</v>
      </c>
      <c r="D147" s="5">
        <v>89400.41</v>
      </c>
      <c r="E147" s="5">
        <f>IF(C147&gt;0,D147/C147,"")</f>
        <v>11175.05125</v>
      </c>
    </row>
    <row r="148">
      <c r="A148" s="4">
        <v>2332637</v>
      </c>
      <c r="B148" s="3" t="inlineStr">
        <is>
          <t xml:space="preserve">MANTECOL BAÑADO C/CHOCO 20GR</t>
        </is>
      </c>
      <c r="C148" s="4">
        <v>12</v>
      </c>
      <c r="D148" s="5">
        <v>169898.81</v>
      </c>
      <c r="E148" s="5">
        <f>IF(C148&gt;0,D148/C148,"")</f>
        <v>14158.234166666667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>
        <v>16</v>
      </c>
      <c r="D150" s="5">
        <v>34112.71</v>
      </c>
      <c r="E150" s="5">
        <f>IF(C150&gt;0,D150/C150,"")</f>
        <v>2132.044375</v>
      </c>
    </row>
    <row r="151">
      <c r="A151" s="4">
        <v>2332642</v>
      </c>
      <c r="B151" s="3" t="inlineStr">
        <is>
          <t xml:space="preserve">MANTECOL OBLEA 8x18x27gr</t>
        </is>
      </c>
      <c r="C151" s="4">
        <v>8</v>
      </c>
      <c r="D151" s="5">
        <v>96957.01</v>
      </c>
      <c r="E151" s="5">
        <f>IF(C151&gt;0,D151/C151,"")</f>
        <v>12119.62625</v>
      </c>
    </row>
    <row r="152">
      <c r="A152" s="4">
        <v>2332643</v>
      </c>
      <c r="B152" s="3" t="inlineStr">
        <is>
          <t xml:space="preserve">MANTECOL CUBANITO 12X40X10GR</t>
        </is>
      </c>
      <c r="C152" s="4">
        <v>12</v>
      </c>
      <c r="D152" s="5">
        <v>125447.28</v>
      </c>
      <c r="E152" s="5">
        <f>IF(C152&gt;0,D152/C152,"")</f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>
        <v>24</v>
      </c>
      <c r="D153" s="5">
        <v>18202.85</v>
      </c>
      <c r="E153" s="5">
        <f>IF(C153&gt;0,D153/C153,"")</f>
        <v>758.45208333333323</v>
      </c>
    </row>
    <row r="154">
      <c r="A154" s="4">
        <v>2332645</v>
      </c>
      <c r="B154" s="3" t="inlineStr">
        <is>
          <t xml:space="preserve">MANTECOL GALLETAS OBLEAS 40UX85GR</t>
        </is>
      </c>
      <c r="C154" s="4">
        <v>40</v>
      </c>
      <c r="D154" s="5">
        <v>45280.62</v>
      </c>
      <c r="E154" s="5">
        <f>IF(C154&gt;0,D154/C154,"")</f>
        <v>1132.0155</v>
      </c>
    </row>
    <row r="155">
      <c r="A155" s="4">
        <v>2332646</v>
      </c>
      <c r="B155" s="3" t="inlineStr">
        <is>
          <t xml:space="preserve">MANTECOL ALFAJOR TRIPLE 20UX60G</t>
        </is>
      </c>
      <c r="C155" s="4">
        <v>20</v>
      </c>
      <c r="D155" s="5">
        <v>25402.5</v>
      </c>
      <c r="E155" s="5">
        <f>IF(C155&gt;0,D155/C155,"")</f>
        <v>1270.125</v>
      </c>
    </row>
    <row r="156">
      <c r="A156" s="4">
        <v>2332810</v>
      </c>
      <c r="B156" s="3" t="inlineStr">
        <is>
          <t xml:space="preserve">FLYNN PAFF XXL 12X24X30GR</t>
        </is>
      </c>
      <c r="C156" s="4">
        <v>12</v>
      </c>
      <c r="D156" s="5">
        <v>102930.54</v>
      </c>
      <c r="E156" s="5">
        <f>IF(C156&gt;0,D156/C156,"")</f>
        <v>8577.545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>
        <v>12</v>
      </c>
      <c r="D159" s="5">
        <v>73196.19</v>
      </c>
      <c r="E159" s="5">
        <f>IF(C159&gt;0,D159/C159,"")</f>
        <v>6099.6825</v>
      </c>
    </row>
    <row r="160">
      <c r="A160" s="4">
        <v>2332823</v>
      </c>
      <c r="B160" s="3" t="inlineStr">
        <is>
          <t xml:space="preserve">FLYNN PAFF EST LIMONA BERRY 12X8GR</t>
        </is>
      </c>
      <c r="C160" s="4">
        <v>12</v>
      </c>
      <c r="D160" s="5">
        <v>76124.44</v>
      </c>
      <c r="E160" s="5">
        <f>IF(C160&gt;0,D160/C160,"")</f>
        <v>6343.7033333333338</v>
      </c>
    </row>
    <row r="161">
      <c r="A161" s="4">
        <v>2332824</v>
      </c>
      <c r="B161" s="3" t="inlineStr">
        <is>
          <t xml:space="preserve">FLYNN PAFF XXL LIMO-BERRY 12X24X30GR</t>
        </is>
      </c>
      <c r="C161" s="4">
        <v>12</v>
      </c>
      <c r="D161" s="5">
        <v>102930.54</v>
      </c>
      <c r="E161" s="5">
        <f>IF(C161&gt;0,D161/C161,"")</f>
        <v>8577.545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>
        <v>12</v>
      </c>
      <c r="D164" s="5">
        <v>112388.72</v>
      </c>
      <c r="E164" s="5">
        <f>IF(C164&gt;0,D164/C164,"")</f>
        <v>9365.7266666666674</v>
      </c>
    </row>
    <row r="165">
      <c r="A165" s="4">
        <v>2332900</v>
      </c>
      <c r="B165" s="3" t="inlineStr">
        <is>
          <t xml:space="preserve">FLYNN PAFF BOLSA UVA 36X8GR</t>
        </is>
      </c>
      <c r="C165" s="4">
        <v>36</v>
      </c>
      <c r="D165" s="5">
        <v>72430.26</v>
      </c>
      <c r="E165" s="5">
        <f>IF(C165&gt;0,D165/C165,"")</f>
        <v>2011.9516666666666</v>
      </c>
    </row>
    <row r="166">
      <c r="A166" s="4">
        <v>2332902</v>
      </c>
      <c r="B166" s="3" t="inlineStr">
        <is>
          <t xml:space="preserve">FLYNN PAFF BOLSA FRUTILLA 36X8GR</t>
        </is>
      </c>
      <c r="C166" s="4">
        <v>36</v>
      </c>
      <c r="D166" s="5">
        <v>72430.26</v>
      </c>
      <c r="E166" s="5">
        <f>IF(C166&gt;0,D166/C166,"")</f>
        <v>2011.9516666666666</v>
      </c>
    </row>
    <row r="167">
      <c r="A167" s="4">
        <v>2332907</v>
      </c>
      <c r="B167" s="3" t="inlineStr">
        <is>
          <t xml:space="preserve">FLYNN PAFF BOLSA SURTIDA 36X8GR</t>
        </is>
      </c>
      <c r="C167" s="4">
        <v>36</v>
      </c>
      <c r="D167" s="5">
        <v>54091.94</v>
      </c>
      <c r="E167" s="5">
        <f>IF(C167&gt;0,D167/C167,"")</f>
        <v>1502.5538888888889</v>
      </c>
    </row>
    <row r="168">
      <c r="A168" s="4">
        <v>2332908</v>
      </c>
      <c r="B168" s="3" t="inlineStr">
        <is>
          <t xml:space="preserve">FLYNN PAFF BOLSA SURTIDA 8X8GR</t>
        </is>
      </c>
      <c r="C168" s="4"/>
      <c r="D168" s="5"/>
      <c r="E168" s="5"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>
        <v>18</v>
      </c>
      <c r="D169" s="5">
        <v>89558.27</v>
      </c>
      <c r="E169" s="5">
        <f>IF(C169&gt;0,D169/C169,"")</f>
        <v>4975.4594444444447</v>
      </c>
    </row>
    <row r="170">
      <c r="A170" s="4">
        <v>2332968</v>
      </c>
      <c r="B170" s="3" t="inlineStr">
        <is>
          <t xml:space="preserve">FLYNN PAFF CHUP SAND-MELON 18X18GR</t>
        </is>
      </c>
      <c r="C170" s="4">
        <v>18</v>
      </c>
      <c r="D170" s="5">
        <v>99509.12</v>
      </c>
      <c r="E170" s="5">
        <f>IF(C170&gt;0,D170/C170,"")</f>
        <v>5528.2844444444445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>
        <v>18</v>
      </c>
      <c r="D174" s="5">
        <v>99509.12</v>
      </c>
      <c r="E174" s="5">
        <f>IF(C174&gt;0,D174/C174,"")</f>
        <v>5528.2844444444445</v>
      </c>
    </row>
    <row r="175">
      <c r="A175" s="4">
        <v>2332982</v>
      </c>
      <c r="B175" s="3" t="inlineStr">
        <is>
          <t xml:space="preserve">FLYNN PAFF CHUPETÍN MANZ 18X18GR</t>
        </is>
      </c>
      <c r="C175" s="4">
        <v>18</v>
      </c>
      <c r="D175" s="5">
        <v>99509.12</v>
      </c>
      <c r="E175" s="5">
        <f>IF(C175&gt;0,D175/C175,"")</f>
        <v>5528.2844444444445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>
        <v>16</v>
      </c>
      <c r="D180" s="5">
        <v>34047.66</v>
      </c>
      <c r="E180" s="5">
        <f>IF(C180&gt;0,D180/C180,"")</f>
        <v>2127.97875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>
        <v>15</v>
      </c>
      <c r="D185" s="5">
        <v>200461.12</v>
      </c>
      <c r="E185" s="5">
        <f>IF(C185&gt;0,D185/C185,"")</f>
        <v>13364.074666666666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>
        <v>18</v>
      </c>
      <c r="D188" s="5">
        <v>142450.13</v>
      </c>
      <c r="E188" s="5">
        <f>IF(C188&gt;0,D188/C188,"")</f>
        <v>7913.8961111111112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>
        <v>6</v>
      </c>
      <c r="D190" s="5">
        <v>72942.16</v>
      </c>
      <c r="E190" s="5">
        <f>IF(C190&gt;0,D190/C190,"")</f>
        <v>12157.026666666667</v>
      </c>
    </row>
    <row r="191">
      <c r="A191" s="4">
        <v>2333263</v>
      </c>
      <c r="B191" s="3" t="inlineStr">
        <is>
          <t xml:space="preserve">HP TODDY CRUNCH EXTREMO 24X75 GRS</t>
        </is>
      </c>
      <c r="C191" s="4">
        <v>24</v>
      </c>
      <c r="D191" s="5">
        <v>81027.99</v>
      </c>
      <c r="E191" s="5">
        <f>IF(C191&gt;0,D191/C191,"")</f>
        <v>3376.16625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>
        <v>18</v>
      </c>
      <c r="D192" s="5">
        <v>102624.09</v>
      </c>
      <c r="E192" s="5">
        <f>IF(C192&gt;0,D192/C192,"")</f>
        <v>5701.3383333333331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>
        <v>24</v>
      </c>
      <c r="D193" s="5">
        <v>77589.94</v>
      </c>
      <c r="E193" s="5">
        <f>IF(C193&gt;0,D193/C193,"")</f>
        <v>3232.9141666666669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>
        <v>24</v>
      </c>
      <c r="D196" s="5">
        <v>77589.94</v>
      </c>
      <c r="E196" s="5">
        <f>IF(C196&gt;0,D196/C196,"")</f>
        <v>3232.9141666666669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>
        <v>12</v>
      </c>
      <c r="D206" s="5">
        <v>40558.43</v>
      </c>
      <c r="E206" s="5">
        <f>IF(C206&gt;0,D206/C206,"")</f>
        <v>3379.8691666666668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>
        <v>36</v>
      </c>
      <c r="D207" s="5">
        <v>69948.65</v>
      </c>
      <c r="E207" s="5">
        <f>IF(C207&gt;0,D207/C207,"")</f>
        <v>1943.0180555555553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>
        <v>24</v>
      </c>
      <c r="D209" s="5">
        <v>109914.66</v>
      </c>
      <c r="E209" s="5">
        <f>IF(C209&gt;0,D209/C209,"")</f>
        <v>4579.7775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GARAPIÑADAS DE MANÍ 36X80GR</t>
        </is>
      </c>
      <c r="C211" s="4">
        <v>36</v>
      </c>
      <c r="D211" s="5">
        <v>34850.18</v>
      </c>
      <c r="E211" s="5">
        <f>IF(C211&gt;0,D211/C211,"")</f>
        <v>968.06055555555554</v>
      </c>
    </row>
    <row r="212">
      <c r="A212" s="4">
        <v>2333772</v>
      </c>
      <c r="B212" s="3" t="inlineStr">
        <is>
          <t xml:space="preserve">GARAPIÑADAS DE MANÍ 36X100GR</t>
        </is>
      </c>
      <c r="C212" s="4">
        <v>36</v>
      </c>
      <c r="D212" s="5">
        <v>42587.74</v>
      </c>
      <c r="E212" s="5">
        <f>IF(C212&gt;0,D212/C212,"")</f>
        <v>1182.9927777777777</v>
      </c>
    </row>
    <row r="213">
      <c r="A213" s="4">
        <v>2333773</v>
      </c>
      <c r="B213" s="3" t="inlineStr">
        <is>
          <t xml:space="preserve">MANÍ CON CHOCOLATE 36X80GR</t>
        </is>
      </c>
      <c r="C213" s="4">
        <v>36</v>
      </c>
      <c r="D213" s="5">
        <v>62217.62</v>
      </c>
      <c r="E213" s="5">
        <f>IF(C213&gt;0,D213/C213,"")</f>
        <v>1728.2672222222222</v>
      </c>
    </row>
    <row r="214">
      <c r="A214" s="4">
        <v>2333774</v>
      </c>
      <c r="B214" s="3" t="inlineStr">
        <is>
          <t xml:space="preserve">MANÍ CON CHOCOLATE 24X120GR</t>
        </is>
      </c>
      <c r="C214" s="4">
        <v>24</v>
      </c>
      <c r="D214" s="5">
        <v>59281.97</v>
      </c>
      <c r="E214" s="5">
        <f>IF(C214&gt;0,D214/C214,"")</f>
        <v>2470.0820833333332</v>
      </c>
    </row>
    <row r="215">
      <c r="A215" s="4">
        <v>2333775</v>
      </c>
      <c r="B215" s="3" t="inlineStr">
        <is>
          <t xml:space="preserve">GARAPIÑADAS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>
        <v>24</v>
      </c>
      <c r="D216" s="5">
        <v>67204.37</v>
      </c>
      <c r="E216" s="5">
        <f>IF(C216&gt;0,D216/C216,"")</f>
        <v>2800.1820833333331</v>
      </c>
    </row>
    <row r="217">
      <c r="A217" s="4">
        <v>2333777</v>
      </c>
      <c r="B217" s="3" t="inlineStr">
        <is>
          <t xml:space="preserve">PASAS DE UVA CON CHOCOLATE</t>
        </is>
      </c>
      <c r="C217" s="4">
        <v>24</v>
      </c>
      <c r="D217" s="5">
        <v>68355.51</v>
      </c>
      <c r="E217" s="5">
        <f>IF(C217&gt;0,D217/C217,"")</f>
        <v>2848.14625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>
        <v>36</v>
      </c>
      <c r="D220" s="5">
        <v>45809.87</v>
      </c>
      <c r="E220" s="5">
        <f>IF(C220&gt;0,D220/C220,"")</f>
        <v>1272.496388888889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>
        <v>8</v>
      </c>
      <c r="D225" s="5">
        <v>44823.24</v>
      </c>
      <c r="E225" s="5">
        <f>IF(C225&gt;0,D225/C225,"")</f>
        <v>5602.905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>
        <v>8</v>
      </c>
      <c r="D226" s="5">
        <v>37995.86</v>
      </c>
      <c r="E226" s="5">
        <f>IF(C226&gt;0,D226/C226,"")</f>
        <v>4749.4825</v>
      </c>
    </row>
    <row r="227">
      <c r="A227" s="4">
        <v>2337011</v>
      </c>
      <c r="B227" s="3" t="inlineStr">
        <is>
          <t xml:space="preserve">MANTECOL CAFÉ 1X40X111GR</t>
        </is>
      </c>
      <c r="C227" s="4">
        <v>40</v>
      </c>
      <c r="D227" s="5">
        <v>95469</v>
      </c>
      <c r="E227" s="5">
        <f>IF(C227&gt;0,D227/C227,"")</f>
        <v>2386.725</v>
      </c>
    </row>
    <row r="228">
      <c r="A228" s="4">
        <v>2337012</v>
      </c>
      <c r="B228" s="3" t="inlineStr">
        <is>
          <t xml:space="preserve">MANTECOL COCO 1X40X111GR</t>
        </is>
      </c>
      <c r="C228" s="4">
        <v>40</v>
      </c>
      <c r="D228" s="5">
        <v>95468.03</v>
      </c>
      <c r="E228" s="5">
        <f>IF(C228&gt;0,D228/C228,"")</f>
        <v>2386.70075</v>
      </c>
    </row>
    <row r="229">
      <c r="A229" s="4">
        <v>2337013</v>
      </c>
      <c r="B229" s="3" t="inlineStr">
        <is>
          <t xml:space="preserve">MANTECOL SALTED CARAMEL 40X111GR</t>
        </is>
      </c>
      <c r="C229" s="4">
        <v>40</v>
      </c>
      <c r="D229" s="5">
        <v>95469</v>
      </c>
      <c r="E229" s="5">
        <f>IF(C229&gt;0,D229/C229,"")</f>
        <v>2386.725</v>
      </c>
    </row>
    <row r="230">
      <c r="A230" s="4">
        <v>23325800</v>
      </c>
      <c r="B230" s="3" t="inlineStr">
        <is>
          <t xml:space="preserve">P DE LA SELVA 12X660G</t>
        </is>
      </c>
      <c r="C230" s="4">
        <v>12</v>
      </c>
      <c r="D230" s="5">
        <v>111441.87</v>
      </c>
      <c r="E230" s="5">
        <f>IF(C230&gt;0,D230/C230,"")</f>
        <v>9286.8225</v>
      </c>
    </row>
    <row r="231">
      <c r="A231" s="4">
        <v>23325801</v>
      </c>
      <c r="B231" s="3" t="inlineStr">
        <is>
          <t xml:space="preserve">P DE LA SELVA 44X150G</t>
        </is>
      </c>
      <c r="C231" s="4">
        <v>44</v>
      </c>
      <c r="D231" s="5">
        <v>92358.62</v>
      </c>
      <c r="E231" s="5">
        <f>IF(C231&gt;0,D231/C231,"")</f>
        <v>2099.0595454545455</v>
      </c>
    </row>
    <row r="232">
      <c r="A232" s="4">
        <v>23325803</v>
      </c>
      <c r="B232" s="3" t="inlineStr">
        <is>
          <t xml:space="preserve">PALITO DE LA SELVA 12X480GR</t>
        </is>
      </c>
      <c r="C232" s="4">
        <v>12</v>
      </c>
      <c r="D232" s="5">
        <v>6784.76</v>
      </c>
      <c r="E232" s="5">
        <f>IF(C232&gt;0,D232/C232,"")</f>
        <v>565.39666666666665</v>
      </c>
    </row>
    <row r="233">
      <c r="A233" s="4">
        <v>23325804</v>
      </c>
      <c r="B233" s="3" t="inlineStr">
        <is>
          <t xml:space="preserve">PAL DE LA SELVA ANANA AC 1X44X150G</t>
        </is>
      </c>
      <c r="C233" s="4">
        <v>44</v>
      </c>
      <c r="D233" s="5">
        <v>89668.41</v>
      </c>
      <c r="E233" s="5">
        <f>IF(C233&gt;0,D233/C233,"")</f>
        <v>2037.9184090909091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>
        <v>44</v>
      </c>
      <c r="D235" s="5">
        <v>89668.41</v>
      </c>
      <c r="E235" s="5">
        <f>IF(C235&gt;0,D235/C235,"")</f>
        <v>2037.9184090909091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>
        <v>24</v>
      </c>
      <c r="D237" s="5">
        <v>219847.32</v>
      </c>
      <c r="E237" s="5">
        <f>IF(C237&gt;0,D237/C237,"")</f>
        <v>9160.305</v>
      </c>
    </row>
    <row r="238">
      <c r="A238" s="4">
        <v>23326400</v>
      </c>
      <c r="B238" s="3" t="inlineStr">
        <is>
          <t xml:space="preserve">MANTECOL IMP B SOD 111GR</t>
        </is>
      </c>
      <c r="C238" s="4">
        <v>40</v>
      </c>
      <c r="D238" s="5">
        <v>95468.52</v>
      </c>
      <c r="E238" s="5">
        <f>IF(C238&gt;0,D238/C238,"")</f>
        <v>2386.713</v>
      </c>
    </row>
    <row r="239">
      <c r="A239" s="4">
        <v>23326600</v>
      </c>
      <c r="B239" s="3" t="inlineStr">
        <is>
          <t xml:space="preserve">MANTECOL MARMO B SOD 111GR</t>
        </is>
      </c>
      <c r="C239" s="4">
        <v>40</v>
      </c>
      <c r="D239" s="5">
        <v>101689.37</v>
      </c>
      <c r="E239" s="5">
        <f>IF(C239&gt;0,D239/C239,"")</f>
        <v>2542.23425</v>
      </c>
    </row>
    <row r="240">
      <c r="A240" s="4">
        <v>23326800</v>
      </c>
      <c r="B240" s="3" t="inlineStr">
        <is>
          <t xml:space="preserve">MANTECOL B SOD 253GR</t>
        </is>
      </c>
      <c r="C240" s="4">
        <v>36</v>
      </c>
      <c r="D240" s="5">
        <v>174629.86</v>
      </c>
      <c r="E240" s="5">
        <f>IF(C240&gt;0,D240/C240,"")</f>
        <v>4850.8294444444437</v>
      </c>
    </row>
    <row r="241">
      <c r="A241" s="4">
        <v>23327000</v>
      </c>
      <c r="B241" s="3" t="inlineStr">
        <is>
          <t xml:space="preserve">MANTECOL B SOD 404GR</t>
        </is>
      </c>
      <c r="C241" s="4">
        <v>24</v>
      </c>
      <c r="D241" s="5">
        <v>166098.35</v>
      </c>
      <c r="E241" s="5">
        <f>IF(C241&gt;0,D241/C241,"")</f>
        <v>6920.7645833333336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>
        <v>18</v>
      </c>
      <c r="D242" s="5">
        <v>89558.27</v>
      </c>
      <c r="E242" s="5">
        <f>IF(C242&gt;0,D242/C242,"")</f>
        <v>4975.4594444444447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>
        <v>32</v>
      </c>
      <c r="D248" s="5">
        <v>229281.25</v>
      </c>
      <c r="E248" s="5">
        <f>IF(C248&gt;0,D248/C248,"")</f>
        <v>7165.0390625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>
        <v>24</v>
      </c>
      <c r="D250" s="5">
        <v>78057.2</v>
      </c>
      <c r="E250" s="5">
        <f>IF(C250&gt;0,D250/C250,"")</f>
        <v>3252.3833333333332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>
        <v>24</v>
      </c>
      <c r="D251" s="5">
        <v>78057.2</v>
      </c>
      <c r="E251" s="5">
        <f>IF(C251&gt;0,D251/C251,"")</f>
        <v>3252.3833333333332</v>
      </c>
    </row>
    <row r="252">
      <c r="A252" s="4">
        <v>23343908</v>
      </c>
      <c r="B252" s="3" t="inlineStr">
        <is>
          <t xml:space="preserve">CARAM. FULLMINT MENTA 24X12X28GR</t>
        </is>
      </c>
      <c r="C252" s="4">
        <v>24</v>
      </c>
      <c r="D252" s="5">
        <v>78057.2</v>
      </c>
      <c r="E252" s="5">
        <f>IF(C252&gt;0,D252/C252,"")</f>
        <v>3252.3833333333332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>
        <v>24</v>
      </c>
      <c r="D253" s="5">
        <v>78057.2</v>
      </c>
      <c r="E253" s="5">
        <f>IF(C253&gt;0,D253/C253,"")</f>
        <v>3252.3833333333332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>
        <v>24</v>
      </c>
      <c r="D254" s="5">
        <v>78057.2</v>
      </c>
      <c r="E254" s="5">
        <f>IF(C254&gt;0,D254/C254,"")</f>
        <v>3252.3833333333332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>
        <v>24</v>
      </c>
      <c r="D255" s="5">
        <v>78057.2</v>
      </c>
      <c r="E255" s="5">
        <f>IF(C255&gt;0,D255/C255,"")</f>
        <v>3252.3833333333332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>
        <v>12</v>
      </c>
      <c r="D256" s="5">
        <v>39028.6</v>
      </c>
      <c r="E256" s="5">
        <f>IF(C256&gt;0,D256/C256,"")</f>
        <v>3252.3833333333332</v>
      </c>
    </row>
    <row r="257">
      <c r="A257" s="4">
        <v>23343913</v>
      </c>
      <c r="B257" s="3" t="inlineStr">
        <is>
          <t xml:space="preserve">LENGUETAZO FRAMBUESA 18X32X13GR</t>
        </is>
      </c>
      <c r="C257" s="4">
        <v>32</v>
      </c>
      <c r="D257" s="5">
        <v>229281.25</v>
      </c>
      <c r="E257" s="5">
        <f>IF(C257&gt;0,D257/C257,"")</f>
        <v>7165.0390625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>
        <v>32</v>
      </c>
      <c r="D258" s="5">
        <v>229281.25</v>
      </c>
      <c r="E258" s="5">
        <f>IF(C258&gt;0,D258/C258,"")</f>
        <v>7165.0390625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>
        <v>10</v>
      </c>
      <c r="D259" s="5">
        <v>16130.87</v>
      </c>
      <c r="E259" s="5">
        <f>IF(C259&gt;0,D259/C259,"")</f>
        <v>1613.087</v>
      </c>
    </row>
    <row r="260">
      <c r="A260" s="4">
        <v>23363600</v>
      </c>
      <c r="B260" s="3" t="inlineStr">
        <is>
          <t xml:space="preserve">MANTECOL BOCADO B/SOD 26GR</t>
        </is>
      </c>
      <c r="C260" s="4">
        <v>8</v>
      </c>
      <c r="D260" s="5">
        <v>100679.16</v>
      </c>
      <c r="E260" s="5">
        <f>IF(C260&gt;0,D260/C260,"")</f>
        <v>12584.895</v>
      </c>
    </row>
    <row r="261">
      <c r="A261" s="4">
        <v>23363900</v>
      </c>
      <c r="B261" s="3" t="inlineStr">
        <is>
          <t xml:space="preserve">MANTECOL BAJO SOD 41GR</t>
        </is>
      </c>
      <c r="C261" s="4">
        <v>8</v>
      </c>
      <c r="D261" s="5">
        <v>108968.15</v>
      </c>
      <c r="E261" s="5">
        <f>IF(C261&gt;0,D261/C261,"")</f>
        <v>13621.01875</v>
      </c>
    </row>
    <row r="262">
      <c r="A262" s="4">
        <v>23364200</v>
      </c>
      <c r="B262" s="3" t="inlineStr">
        <is>
          <t xml:space="preserve">MANTECOL BARRA B SOD 64GR</t>
        </is>
      </c>
      <c r="C262" s="4">
        <v>8</v>
      </c>
      <c r="D262" s="5">
        <v>95710.81</v>
      </c>
      <c r="E262" s="5">
        <f>IF(C262&gt;0,D262/C262,"")</f>
        <v>11963.85125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>
        <v>20</v>
      </c>
      <c r="D4" s="5">
        <v>29887</v>
      </c>
      <c r="E4" s="5">
        <f>IF(C4&gt;0,D4/C4,"")</f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>
        <v>10</v>
      </c>
      <c r="D5" s="5">
        <v>26898.66</v>
      </c>
      <c r="E5" s="5">
        <f>IF(C5&gt;0,D5/C5,"")</f>
        <v>2689.866</v>
      </c>
    </row>
    <row r="6">
      <c r="A6" s="4">
        <v>1033</v>
      </c>
      <c r="B6" s="3" t="inlineStr">
        <is>
          <t xml:space="preserve">MANTECA S/SAL Y S/VITAMINAS X 500G. ILOLAY</t>
        </is>
      </c>
      <c r="C6" s="4">
        <v>12</v>
      </c>
      <c r="D6" s="5">
        <v>77300.85</v>
      </c>
      <c r="E6" s="5">
        <f>IF(C6&gt;0,D6/C6,"")</f>
        <v>6441.7375</v>
      </c>
    </row>
    <row r="7">
      <c r="A7" s="4">
        <v>1040</v>
      </c>
      <c r="B7" s="3" t="inlineStr">
        <is>
          <t xml:space="preserve">CREMA DOBLE X 200ML. ILOLAY</t>
        </is>
      </c>
      <c r="C7" s="4">
        <v>24</v>
      </c>
      <c r="D7" s="5">
        <v>45114.51</v>
      </c>
      <c r="E7" s="5">
        <f>IF(C7&gt;0,D7/C7,"")</f>
        <v>1879.77125</v>
      </c>
    </row>
    <row r="8">
      <c r="A8" s="4">
        <v>1041</v>
      </c>
      <c r="B8" s="3" t="inlineStr">
        <is>
          <t xml:space="preserve">CREMA DOBLE X 350ML. ILOLAY</t>
        </is>
      </c>
      <c r="C8" s="4">
        <v>12</v>
      </c>
      <c r="D8" s="5">
        <v>35964.01</v>
      </c>
      <c r="E8" s="5">
        <f>IF(C8&gt;0,D8/C8,"")</f>
        <v>2997.0008333333335</v>
      </c>
    </row>
    <row r="9">
      <c r="A9" s="4">
        <v>1042</v>
      </c>
      <c r="B9" s="3" t="inlineStr">
        <is>
          <t xml:space="preserve">CREMA SIMPLE X 200ML. ILOLAY</t>
        </is>
      </c>
      <c r="C9" s="4">
        <v>24</v>
      </c>
      <c r="D9" s="5">
        <v>42137.04</v>
      </c>
      <c r="E9" s="5">
        <f>IF(C9&gt;0,D9/C9,"")</f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>
        <v>12</v>
      </c>
      <c r="D10" s="5">
        <v>38051.11</v>
      </c>
      <c r="E10" s="5">
        <f>IF(C10&gt;0,D10/C10,"")</f>
        <v>3170.9258333333332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>
        <v>12</v>
      </c>
      <c r="D18" s="5">
        <v>28435.1</v>
      </c>
      <c r="E18" s="5">
        <f>IF(C18&gt;0,D18/C18,"")</f>
        <v>2369.5916666666667</v>
      </c>
    </row>
    <row r="19">
      <c r="A19" s="4">
        <v>1615</v>
      </c>
      <c r="B19" s="3" t="inlineStr">
        <is>
          <t xml:space="preserve">QUESO ILOLAY CREM BALANCE 290GR</t>
        </is>
      </c>
      <c r="C19" s="4">
        <v>12</v>
      </c>
      <c r="D19" s="5">
        <v>28435.1</v>
      </c>
      <c r="E19" s="5">
        <f>IF(C19&gt;0,D19/C19,"")</f>
        <v>2369.5916666666667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>
        <v>12</v>
      </c>
      <c r="D22" s="5">
        <v>23248.12</v>
      </c>
      <c r="E22" s="5">
        <f>IF(C22&gt;0,D22/C22,"")</f>
        <v>1937.3433333333332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>
        <v>12</v>
      </c>
      <c r="D24" s="5">
        <v>23248.12</v>
      </c>
      <c r="E24" s="5">
        <f>IF(C24&gt;0,D24/C24,"")</f>
        <v>1937.3433333333332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>
        <v>6</v>
      </c>
      <c r="D26" s="5">
        <v>157905.15</v>
      </c>
      <c r="E26" s="5">
        <f>IF(C26&gt;0,D26/C26,"")</f>
        <v>26317.524999999998</v>
      </c>
    </row>
    <row r="27">
      <c r="A27" s="4">
        <v>1802</v>
      </c>
      <c r="B27" s="3" t="inlineStr">
        <is>
          <t xml:space="preserve">QUESO RALLADO X 120G. ILOLAY</t>
        </is>
      </c>
      <c r="C27" s="4">
        <v>40</v>
      </c>
      <c r="D27" s="5">
        <v>145318.1</v>
      </c>
      <c r="E27" s="5">
        <f>IF(C27&gt;0,D27/C27,"")</f>
        <v>3632.9525000000003</v>
      </c>
    </row>
    <row r="28">
      <c r="A28" s="4">
        <v>2000</v>
      </c>
      <c r="B28" s="3" t="inlineStr">
        <is>
          <t xml:space="preserve">POSTRE VAINILLA X 120G. ILOLAY</t>
        </is>
      </c>
      <c r="C28" s="4">
        <v>20</v>
      </c>
      <c r="D28" s="5">
        <v>24132.48</v>
      </c>
      <c r="E28" s="5">
        <f>IF(C28&gt;0,D28/C28,"")</f>
        <v>1206.624</v>
      </c>
    </row>
    <row r="29">
      <c r="A29" s="4">
        <v>2001</v>
      </c>
      <c r="B29" s="3" t="inlineStr">
        <is>
          <t xml:space="preserve">POSTRE CHOCOLATE X 120G. ILOLAY</t>
        </is>
      </c>
      <c r="C29" s="4">
        <v>20</v>
      </c>
      <c r="D29" s="5">
        <v>24132.48</v>
      </c>
      <c r="E29" s="5">
        <f>IF(C29&gt;0,D29/C29,"")</f>
        <v>1206.624</v>
      </c>
    </row>
    <row r="30">
      <c r="A30" s="4">
        <v>2002</v>
      </c>
      <c r="B30" s="3" t="inlineStr">
        <is>
          <t xml:space="preserve">POSTRE VAIN/DDL. X 120G. ILOLAY</t>
        </is>
      </c>
      <c r="C30" s="4">
        <v>20</v>
      </c>
      <c r="D30" s="5">
        <v>24132.48</v>
      </c>
      <c r="E30" s="5">
        <f>IF(C30&gt;0,D30/C30,"")</f>
        <v>1206.624</v>
      </c>
    </row>
    <row r="31">
      <c r="A31" s="4">
        <v>2003</v>
      </c>
      <c r="B31" s="3" t="inlineStr">
        <is>
          <t xml:space="preserve">POSTRE DULCE DE LECHE X 120G. ILOLAY</t>
        </is>
      </c>
      <c r="C31" s="4">
        <v>20</v>
      </c>
      <c r="D31" s="5">
        <v>24132.48</v>
      </c>
      <c r="E31" s="5">
        <f>IF(C31&gt;0,D31/C31,"")</f>
        <v>1206.624</v>
      </c>
    </row>
    <row r="32">
      <c r="A32" s="4">
        <v>2070</v>
      </c>
      <c r="B32" s="3" t="inlineStr">
        <is>
          <t xml:space="preserve">POSTRE VAIN. C/CONFITES X 110G. ILOLAY</t>
        </is>
      </c>
      <c r="C32" s="4">
        <v>20</v>
      </c>
      <c r="D32" s="5">
        <v>42480.92</v>
      </c>
      <c r="E32" s="5">
        <f>IF(C32&gt;0,D32/C32,"")</f>
        <v>2124.046</v>
      </c>
    </row>
    <row r="33">
      <c r="A33" s="4">
        <v>2200</v>
      </c>
      <c r="B33" s="3" t="inlineStr">
        <is>
          <t xml:space="preserve">FLAN VAIN. C/CARA Y DDL. X 110G. ILOLAY</t>
        </is>
      </c>
      <c r="C33" s="4">
        <v>20</v>
      </c>
      <c r="D33" s="5">
        <v>23127.94</v>
      </c>
      <c r="E33" s="5">
        <f>IF(C33&gt;0,D33/C33,"")</f>
        <v>1156.397</v>
      </c>
    </row>
    <row r="34">
      <c r="A34" s="4">
        <v>2201</v>
      </c>
      <c r="B34" s="3" t="inlineStr">
        <is>
          <t xml:space="preserve">FLAN VAINILLA C/CARAMELO X 110G. ILOLAY</t>
        </is>
      </c>
      <c r="C34" s="4">
        <v>20</v>
      </c>
      <c r="D34" s="5">
        <v>23127.94</v>
      </c>
      <c r="E34" s="5">
        <f>IF(C34&gt;0,D34/C34,"")</f>
        <v>1156.397</v>
      </c>
    </row>
    <row r="35">
      <c r="A35" s="4">
        <v>3200</v>
      </c>
      <c r="B35" s="3" t="inlineStr">
        <is>
          <t xml:space="preserve">YOG. CREMOSO ENT. FRUTILLA X 120G. ILOLAY</t>
        </is>
      </c>
      <c r="C35" s="4">
        <v>24</v>
      </c>
      <c r="D35" s="5">
        <v>18090.18</v>
      </c>
      <c r="E35" s="5">
        <f>IF(C35&gt;0,D35/C35,"")</f>
        <v>753.7575</v>
      </c>
    </row>
    <row r="36">
      <c r="A36" s="4">
        <v>3201</v>
      </c>
      <c r="B36" s="3" t="inlineStr">
        <is>
          <t xml:space="preserve">YOG. CREMOSO ENT. VAINILLA X 120G. ILOLAY</t>
        </is>
      </c>
      <c r="C36" s="4">
        <v>24</v>
      </c>
      <c r="D36" s="5">
        <v>18090.18</v>
      </c>
      <c r="E36" s="5">
        <f>IF(C36&gt;0,D36/C36,"")</f>
        <v>753.7575</v>
      </c>
    </row>
    <row r="37">
      <c r="A37" s="4">
        <v>3240</v>
      </c>
      <c r="B37" s="3" t="inlineStr">
        <is>
          <t xml:space="preserve">YOGUR CREMOSO PD DESLAC FRUT 90GR ILOLAY</t>
        </is>
      </c>
      <c r="C37" s="4">
        <v>24</v>
      </c>
      <c r="D37" s="5">
        <v>18206.05</v>
      </c>
      <c r="E37" s="5">
        <f>IF(C37&gt;0,D37/C37,"")</f>
        <v>758.58541666666667</v>
      </c>
    </row>
    <row r="38">
      <c r="A38" s="4">
        <v>3241</v>
      </c>
      <c r="B38" s="3" t="inlineStr">
        <is>
          <t xml:space="preserve">YOGUR CREMOSO PD DESLAC VAI 90GR ILOLAY</t>
        </is>
      </c>
      <c r="C38" s="4">
        <v>24</v>
      </c>
      <c r="D38" s="5">
        <v>18206.05</v>
      </c>
      <c r="E38" s="5">
        <f>IF(C38&gt;0,D38/C38,"")</f>
        <v>758.58541666666667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>
        <v>24</v>
      </c>
      <c r="D41" s="5">
        <v>18090.18</v>
      </c>
      <c r="E41" s="5">
        <f>IF(C41&gt;0,D41/C41,"")</f>
        <v>753.7575</v>
      </c>
    </row>
    <row r="42">
      <c r="A42" s="4">
        <v>3411</v>
      </c>
      <c r="B42" s="3" t="inlineStr">
        <is>
          <t xml:space="preserve">YOG. FIRME ENT. VAIN.  X 120G. ILOLAY</t>
        </is>
      </c>
      <c r="C42" s="4">
        <v>24</v>
      </c>
      <c r="D42" s="5">
        <v>18090.18</v>
      </c>
      <c r="E42" s="5">
        <f>IF(C42&gt;0,D42/C42,"")</f>
        <v>753.7575</v>
      </c>
    </row>
    <row r="43">
      <c r="A43" s="4">
        <v>3500</v>
      </c>
      <c r="B43" s="3" t="inlineStr">
        <is>
          <t xml:space="preserve">YOGUR CON TROZOS FRUTILLA x150g ILOLAY</t>
        </is>
      </c>
      <c r="C43" s="4">
        <v>20</v>
      </c>
      <c r="D43" s="5">
        <v>27107.63</v>
      </c>
      <c r="E43" s="5">
        <f>IF(C43&gt;0,D43/C43,"")</f>
        <v>1355.3815</v>
      </c>
    </row>
    <row r="44">
      <c r="A44" s="4">
        <v>3502</v>
      </c>
      <c r="B44" s="3" t="inlineStr">
        <is>
          <t xml:space="preserve">YOGUR CON TROZOS DURAZNO x150g ILOLAY</t>
        </is>
      </c>
      <c r="C44" s="4">
        <v>20</v>
      </c>
      <c r="D44" s="5">
        <v>27107.63</v>
      </c>
      <c r="E44" s="5">
        <f>IF(C44&gt;0,D44/C44,"")</f>
        <v>1355.3815</v>
      </c>
    </row>
    <row r="45">
      <c r="A45" s="4">
        <v>3504</v>
      </c>
      <c r="B45" s="3" t="inlineStr">
        <is>
          <t xml:space="preserve">YOGUR CON TROZOS DE ARANDANOS x150g ILOLAY</t>
        </is>
      </c>
      <c r="C45" s="4">
        <v>20</v>
      </c>
      <c r="D45" s="5">
        <v>26576.2</v>
      </c>
      <c r="E45" s="5">
        <f>IF(C45&gt;0,D45/C45,"")</f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>
        <v>20</v>
      </c>
      <c r="D48" s="5">
        <v>23391.24</v>
      </c>
      <c r="E48" s="5">
        <f>IF(C48&gt;0,D48/C48,"")</f>
        <v>1169.5620000000001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>
        <v>20</v>
      </c>
      <c r="D49" s="5">
        <v>45537.87</v>
      </c>
      <c r="E49" s="5">
        <f>IF(C49&gt;0,D49/C49,"")</f>
        <v>2276.8935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>
        <v>20</v>
      </c>
      <c r="D50" s="5">
        <v>45537.87</v>
      </c>
      <c r="E50" s="5">
        <f>IF(C50&gt;0,D50/C50,"")</f>
        <v>2276.8935</v>
      </c>
    </row>
    <row r="51">
      <c r="A51" s="4">
        <v>3600</v>
      </c>
      <c r="B51" s="3" t="inlineStr">
        <is>
          <t xml:space="preserve">YOG.FIRME ENT. FRUT. POTE X 190G. ILOLAY</t>
        </is>
      </c>
      <c r="C51" s="4">
        <v>20</v>
      </c>
      <c r="D51" s="5">
        <v>24788.79</v>
      </c>
      <c r="E51" s="5">
        <f>IF(C51&gt;0,D51/C51,"")</f>
        <v>1239.4395</v>
      </c>
    </row>
    <row r="52">
      <c r="A52" s="4">
        <v>3601</v>
      </c>
      <c r="B52" s="3" t="inlineStr">
        <is>
          <t xml:space="preserve">YOG.FIRME ENT. VAIN. POTE X 190G. ILOLAY</t>
        </is>
      </c>
      <c r="C52" s="4">
        <v>20</v>
      </c>
      <c r="D52" s="5">
        <v>24788.79</v>
      </c>
      <c r="E52" s="5">
        <f>IF(C52&gt;0,D52/C52,"")</f>
        <v>1239.4395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/>
      <c r="D54" s="5"/>
      <c r="E54" s="5">
        <v>1239.44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>
        <v>12</v>
      </c>
      <c r="D56" s="5">
        <v>24424.24</v>
      </c>
      <c r="E56" s="5">
        <f>IF(C56&gt;0,D56/C56,"")</f>
        <v>2035.3533333333335</v>
      </c>
    </row>
    <row r="57">
      <c r="A57" s="4">
        <v>3700</v>
      </c>
      <c r="B57" s="3" t="inlineStr">
        <is>
          <t xml:space="preserve">YOG. C/ CEREAL. ENT. POTE X 165G. ILOLAY</t>
        </is>
      </c>
      <c r="C57" s="4">
        <v>20</v>
      </c>
      <c r="D57" s="5">
        <v>34710.3</v>
      </c>
      <c r="E57" s="5">
        <f>IF(C57&gt;0,D57/C57,"")</f>
        <v>1735.515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>
        <v>20</v>
      </c>
      <c r="D59" s="5">
        <v>33885.57</v>
      </c>
      <c r="E59" s="5">
        <f>IF(C59&gt;0,D59/C59,"")</f>
        <v>1694.2785</v>
      </c>
    </row>
    <row r="60">
      <c r="A60" s="4">
        <v>4140</v>
      </c>
      <c r="B60" s="3" t="inlineStr">
        <is>
          <t xml:space="preserve">YOG.BEB.ENT.FRUT. S. X 900GR. MULTVT</t>
        </is>
      </c>
      <c r="C60" s="4">
        <v>12</v>
      </c>
      <c r="D60" s="5">
        <v>24982.82</v>
      </c>
      <c r="E60" s="5">
        <f>IF(C60&gt;0,D60/C60,"")</f>
        <v>2081.9016666666666</v>
      </c>
    </row>
    <row r="61">
      <c r="A61" s="4">
        <v>4141</v>
      </c>
      <c r="B61" s="3" t="inlineStr">
        <is>
          <t xml:space="preserve">YOG.BEB.ENT.VAIN. S. X 900GR. MULTVT</t>
        </is>
      </c>
      <c r="C61" s="4">
        <v>12</v>
      </c>
      <c r="D61" s="5">
        <v>24982.82</v>
      </c>
      <c r="E61" s="5">
        <f>IF(C61&gt;0,D61/C61,"")</f>
        <v>2081.9016666666666</v>
      </c>
    </row>
    <row r="62">
      <c r="A62" s="4">
        <v>4142</v>
      </c>
      <c r="B62" s="3" t="inlineStr">
        <is>
          <t xml:space="preserve">YOG.BEB.ENT.DURAZ. S. X 900GR. MULTVT</t>
        </is>
      </c>
      <c r="C62" s="4">
        <v>12</v>
      </c>
      <c r="D62" s="5">
        <v>25042.93</v>
      </c>
      <c r="E62" s="5">
        <f>IF(C62&gt;0,D62/C62,"")</f>
        <v>2086.9108333333334</v>
      </c>
    </row>
    <row r="63">
      <c r="A63" s="4">
        <v>4144</v>
      </c>
      <c r="B63" s="3" t="inlineStr">
        <is>
          <t xml:space="preserve">YOG.BEB.ENT.FRUT/KW. S. X 900GR. MULTVT</t>
        </is>
      </c>
      <c r="C63" s="4">
        <v>12</v>
      </c>
      <c r="D63" s="5">
        <v>25042.93</v>
      </c>
      <c r="E63" s="5">
        <f>IF(C63&gt;0,D63/C63,"")</f>
        <v>2086.9108333333334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>
        <v>8</v>
      </c>
      <c r="D66" s="5">
        <v>20039.83</v>
      </c>
      <c r="E66" s="5">
        <f>IF(C66&gt;0,D66/C66,"")</f>
        <v>2504.97875</v>
      </c>
    </row>
    <row r="67">
      <c r="A67" s="4">
        <v>4231</v>
      </c>
      <c r="B67" s="3" t="inlineStr">
        <is>
          <t xml:space="preserve">Yog. TTOP PD Vai. x 950 GRS. Ilolay</t>
        </is>
      </c>
      <c r="C67" s="4">
        <v>8</v>
      </c>
      <c r="D67" s="5">
        <v>20039.83</v>
      </c>
      <c r="E67" s="5">
        <f>IF(C67&gt;0,D67/C67,"")</f>
        <v>2504.97875</v>
      </c>
    </row>
    <row r="68">
      <c r="A68" s="4">
        <v>4232</v>
      </c>
      <c r="B68" s="3" t="inlineStr">
        <is>
          <t xml:space="preserve">Yog. TTOP PD Dur. x 950 GRS. Ilolay</t>
        </is>
      </c>
      <c r="C68" s="4">
        <v>8</v>
      </c>
      <c r="D68" s="5">
        <v>20040.02</v>
      </c>
      <c r="E68" s="5">
        <f>IF(C68&gt;0,D68/C68,"")</f>
        <v>2505.0025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>
        <v>8</v>
      </c>
      <c r="D71" s="5">
        <v>38666.76</v>
      </c>
      <c r="E71" s="5">
        <f>IF(C71&gt;0,D71/C71,"")</f>
        <v>4833.345</v>
      </c>
    </row>
    <row r="72">
      <c r="A72" s="4">
        <v>4411</v>
      </c>
      <c r="B72" s="3" t="inlineStr">
        <is>
          <t xml:space="preserve">TETRATOP PROTEINA VAINILLA X950GR ILOLAY</t>
        </is>
      </c>
      <c r="C72" s="4">
        <v>8</v>
      </c>
      <c r="D72" s="5">
        <v>38666.76</v>
      </c>
      <c r="E72" s="5">
        <f>IF(C72&gt;0,D72/C72,"")</f>
        <v>4833.345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>
        <v>24</v>
      </c>
      <c r="D77" s="5">
        <v>54777.28</v>
      </c>
      <c r="E77" s="5">
        <f>IF(C77&gt;0,D77/C77,"")</f>
        <v>2282.3866666666668</v>
      </c>
    </row>
    <row r="78">
      <c r="A78" s="4">
        <v>4531</v>
      </c>
      <c r="B78" s="3" t="inlineStr">
        <is>
          <t xml:space="preserve">TETRATOP PROTEINA VAINILLA X220GR ILOLAY</t>
        </is>
      </c>
      <c r="C78" s="4"/>
      <c r="D78" s="5"/>
      <c r="E78" s="5">
        <v>2282.39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20386.08</v>
      </c>
      <c r="E84" s="5">
        <f>IF(C84&gt;0,D84/C84,"")</f>
        <v>1698.8400000000001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20386.08</v>
      </c>
      <c r="E85" s="5">
        <f>IF(C85&gt;0,D85/C85,"")</f>
        <v>1698.8400000000001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22019.13</v>
      </c>
      <c r="E86" s="5">
        <f>IF(C86&gt;0,D86/C86,"")</f>
        <v>1834.9275</v>
      </c>
    </row>
    <row r="87">
      <c r="A87" s="4">
        <v>5323</v>
      </c>
      <c r="B87" s="3" t="inlineStr">
        <is>
          <t xml:space="preserve">LECHE LARGA VIDA PROTEINAS X1L ILOLAY</t>
        </is>
      </c>
      <c r="C87" s="4">
        <v>12</v>
      </c>
      <c r="D87" s="5">
        <v>24232.43</v>
      </c>
      <c r="E87" s="5">
        <f>IF(C87&gt;0,D87/C87,"")</f>
        <v>2019.3691666666666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>
        <v>30</v>
      </c>
      <c r="D91" s="5">
        <v>30108.67</v>
      </c>
      <c r="E91" s="5">
        <f>IF(C91&gt;0,D91/C91,"")</f>
        <v>1003.6223333333332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>
        <v>24</v>
      </c>
      <c r="D94" s="5">
        <v>34264.3</v>
      </c>
      <c r="E94" s="5">
        <f>IF(C94&gt;0,D94/C94,"")</f>
        <v>1427.6791666666668</v>
      </c>
    </row>
    <row r="95">
      <c r="A95" s="4">
        <v>6001</v>
      </c>
      <c r="B95" s="3" t="inlineStr">
        <is>
          <t xml:space="preserve">DULCE DE LECHE CLÁSICO X 400G. ILOLAY</t>
        </is>
      </c>
      <c r="C95" s="4">
        <v>24</v>
      </c>
      <c r="D95" s="5">
        <v>57468.13</v>
      </c>
      <c r="E95" s="5">
        <f>IF(C95&gt;0,D95/C95,"")</f>
        <v>2394.5054166666664</v>
      </c>
    </row>
    <row r="96">
      <c r="A96" s="4">
        <v>6002</v>
      </c>
      <c r="B96" s="3" t="inlineStr">
        <is>
          <t xml:space="preserve">DULCE DE LECHE CLÁSICO X 1KG. ILOLAY</t>
        </is>
      </c>
      <c r="C96" s="4">
        <v>12</v>
      </c>
      <c r="D96" s="5">
        <v>76454.48</v>
      </c>
      <c r="E96" s="5">
        <f>IF(C96&gt;0,D96/C96,"")</f>
        <v>6371.206666666666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>
        <v>24</v>
      </c>
      <c r="D98" s="5">
        <v>63213.98</v>
      </c>
      <c r="E98" s="5">
        <f>IF(C98&gt;0,D98/C98,"")</f>
        <v>2633.9158333333335</v>
      </c>
    </row>
    <row r="99">
      <c r="A99" s="4">
        <v>6102</v>
      </c>
      <c r="B99" s="3" t="inlineStr">
        <is>
          <t xml:space="preserve">DULCE DE LECHE REPOSTERO X 1KG. ILOLAY</t>
        </is>
      </c>
      <c r="C99" s="4">
        <v>12</v>
      </c>
      <c r="D99" s="5">
        <v>84099.99</v>
      </c>
      <c r="E99" s="5">
        <f>IF(C99&gt;0,D99/C99,"")</f>
        <v>7008.3325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>
        <v>8</v>
      </c>
      <c r="D102" s="5">
        <v>41727.29</v>
      </c>
      <c r="E102" s="5">
        <f>IF(C102&gt;0,D102/C102,"")</f>
        <v>5215.91125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  <row r="31">
      <c r="A31" s="4">
        <v>874513</v>
      </c>
      <c r="B31" s="3" t="inlineStr">
        <is>
          <t xml:space="preserve">Aromatiz. Gat. Ropa Limpia 250ml</t>
        </is>
      </c>
      <c r="C31" s="4">
        <v>12</v>
      </c>
      <c r="D31" s="5">
        <v>30501.37</v>
      </c>
      <c r="E31" s="5">
        <f>IF(C31&gt;0,D31/C31,"")</f>
        <v>2541.7808333333332</v>
      </c>
    </row>
    <row r="32">
      <c r="A32" s="4">
        <v>874520</v>
      </c>
      <c r="B32" s="3" t="inlineStr">
        <is>
          <t xml:space="preserve">Aromatiz. Gat. Cony Fresh 250ml</t>
        </is>
      </c>
      <c r="C32" s="4">
        <v>12</v>
      </c>
      <c r="D32" s="5">
        <v>30501.37</v>
      </c>
      <c r="E32" s="5">
        <f>IF(C32&gt;0,D32/C32,"")</f>
        <v>2541.7808333333332</v>
      </c>
    </row>
    <row r="33">
      <c r="A33" s="4">
        <v>874537</v>
      </c>
      <c r="B33" s="3" t="inlineStr">
        <is>
          <t xml:space="preserve">Aromatiz. Gat. Bubble Candy 250ml</t>
        </is>
      </c>
      <c r="C33" s="4">
        <v>12</v>
      </c>
      <c r="D33" s="5">
        <v>30501.37</v>
      </c>
      <c r="E33" s="5">
        <f>IF(C33&gt;0,D33/C33,"")</f>
        <v>2541.7808333333332</v>
      </c>
    </row>
    <row r="34">
      <c r="A34" s="4">
        <v>874544</v>
      </c>
      <c r="B34" s="3" t="inlineStr">
        <is>
          <t xml:space="preserve">Aromatiz. Gat. Green Bamboo 250ml</t>
        </is>
      </c>
      <c r="C34" s="4">
        <v>12</v>
      </c>
      <c r="D34" s="5">
        <v>30501.37</v>
      </c>
      <c r="E34" s="5">
        <f>IF(C34&gt;0,D34/C34,"")</f>
        <v>2541.7808333333332</v>
      </c>
    </row>
    <row r="35">
      <c r="A35" s="4">
        <v>874551</v>
      </c>
      <c r="B35" s="3" t="inlineStr">
        <is>
          <t xml:space="preserve">Aromatiz. Gat. Coconut Grove 250ml</t>
        </is>
      </c>
      <c r="C35" s="4">
        <v>12</v>
      </c>
      <c r="D35" s="5">
        <v>30501.37</v>
      </c>
      <c r="E35" s="5">
        <f>IF(C35&gt;0,D35/C35,"")</f>
        <v>2541.7808333333332</v>
      </c>
    </row>
    <row r="36">
      <c r="A36" s="4">
        <v>874568</v>
      </c>
      <c r="B36" s="3" t="inlineStr">
        <is>
          <t xml:space="preserve">Aromatiz. Gat. Exotic Flower 250ml</t>
        </is>
      </c>
      <c r="C36" s="4">
        <v>12</v>
      </c>
      <c r="D36" s="5">
        <v>30501.37</v>
      </c>
      <c r="E36" s="5">
        <f>IF(C36&gt;0,D36/C36,"")</f>
        <v>2541.7808333333332</v>
      </c>
    </row>
    <row r="37">
      <c r="A37" s="4">
        <v>874575</v>
      </c>
      <c r="B37" s="3" t="inlineStr">
        <is>
          <t xml:space="preserve">Aromatiz. Gat. Mary Blossom 250ml</t>
        </is>
      </c>
      <c r="C37" s="4">
        <v>12</v>
      </c>
      <c r="D37" s="5">
        <v>30501.37</v>
      </c>
      <c r="E37" s="5">
        <f>IF(C37&gt;0,D37/C37,"")</f>
        <v>2541.7808333333332</v>
      </c>
    </row>
    <row r="38">
      <c r="A38" s="4">
        <v>874582</v>
      </c>
      <c r="B38" s="3" t="inlineStr">
        <is>
          <t xml:space="preserve">Aromatiz. Gat. Victus 250ml</t>
        </is>
      </c>
      <c r="C38" s="4">
        <v>12</v>
      </c>
      <c r="D38" s="5">
        <v>30501.37</v>
      </c>
      <c r="E38" s="5">
        <f>IF(C38&gt;0,D38/C38,"")</f>
        <v>2541.7808333333332</v>
      </c>
    </row>
    <row r="39">
      <c r="A39" s="4">
        <v>874599</v>
      </c>
      <c r="B39" s="3" t="inlineStr">
        <is>
          <t xml:space="preserve">Aromatiz. Gat. Santal 250ml</t>
        </is>
      </c>
      <c r="C39" s="4">
        <v>12</v>
      </c>
      <c r="D39" s="5">
        <v>30501.37</v>
      </c>
      <c r="E39" s="5">
        <f>IF(C39&gt;0,D39/C39,"")</f>
        <v>2541.7808333333332</v>
      </c>
    </row>
    <row r="40">
      <c r="A40" s="4">
        <v>874605</v>
      </c>
      <c r="B40" s="3" t="inlineStr">
        <is>
          <t xml:space="preserve">Aromatiz. Gat. One Alma 250ml</t>
        </is>
      </c>
      <c r="C40" s="4">
        <v>12</v>
      </c>
      <c r="D40" s="5">
        <v>30501.37</v>
      </c>
      <c r="E40" s="5">
        <f>IF(C40&gt;0,D40/C40,"")</f>
        <v>2541.7808333333332</v>
      </c>
    </row>
    <row r="41">
      <c r="A41" s="4">
        <v>874612</v>
      </c>
      <c r="B41" s="3" t="inlineStr">
        <is>
          <t xml:space="preserve">Aromatiz. Gat. Ropa Limpia 500ml</t>
        </is>
      </c>
      <c r="C41" s="4">
        <v>12</v>
      </c>
      <c r="D41" s="5">
        <v>54890.78</v>
      </c>
      <c r="E41" s="5">
        <f>IF(C41&gt;0,D41/C41,"")</f>
        <v>4574.2316666666666</v>
      </c>
    </row>
    <row r="42">
      <c r="A42" s="4">
        <v>874629</v>
      </c>
      <c r="B42" s="3" t="inlineStr">
        <is>
          <t xml:space="preserve">Aromatiz. Gat. Bubble Candy 500ml</t>
        </is>
      </c>
      <c r="C42" s="4">
        <v>12</v>
      </c>
      <c r="D42" s="5">
        <v>54890.78</v>
      </c>
      <c r="E42" s="5">
        <f>IF(C42&gt;0,D42/C42,"")</f>
        <v>4574.2316666666666</v>
      </c>
    </row>
    <row r="43">
      <c r="A43" s="4">
        <v>874636</v>
      </c>
      <c r="B43" s="3" t="inlineStr">
        <is>
          <t xml:space="preserve">Aromatiz. Gat. Coconut Grove 500ml</t>
        </is>
      </c>
      <c r="C43" s="4">
        <v>12</v>
      </c>
      <c r="D43" s="5">
        <v>54890.78</v>
      </c>
      <c r="E43" s="5">
        <f>IF(C43&gt;0,D43/C43,"")</f>
        <v>4574.2316666666666</v>
      </c>
    </row>
    <row r="44">
      <c r="A44" s="4">
        <v>874643</v>
      </c>
      <c r="B44" s="3" t="inlineStr">
        <is>
          <t xml:space="preserve">Aromatiz. Gat. Exotic Flower 500ml</t>
        </is>
      </c>
      <c r="C44" s="4">
        <v>12</v>
      </c>
      <c r="D44" s="5">
        <v>54890.78</v>
      </c>
      <c r="E44" s="5">
        <f>IF(C44&gt;0,D44/C44,"")</f>
        <v>4574.2316666666666</v>
      </c>
    </row>
    <row r="45">
      <c r="A45" s="4">
        <v>874650</v>
      </c>
      <c r="B45" s="3" t="inlineStr">
        <is>
          <t xml:space="preserve">Aromatiz. Gat. Mary Blossom 500ml</t>
        </is>
      </c>
      <c r="C45" s="4">
        <v>12</v>
      </c>
      <c r="D45" s="5">
        <v>54890.78</v>
      </c>
      <c r="E45" s="5">
        <f>IF(C45&gt;0,D45/C45,"")</f>
        <v>4574.2316666666666</v>
      </c>
    </row>
    <row r="46">
      <c r="A46" s="4">
        <v>874667</v>
      </c>
      <c r="B46" s="3" t="inlineStr">
        <is>
          <t xml:space="preserve">Aromatiz. Gat. Victus 500ml</t>
        </is>
      </c>
      <c r="C46" s="4">
        <v>12</v>
      </c>
      <c r="D46" s="5">
        <v>54890.78</v>
      </c>
      <c r="E46" s="5">
        <f>IF(C46&gt;0,D46/C46,"")</f>
        <v>4574.2316666666666</v>
      </c>
    </row>
    <row r="47">
      <c r="A47" s="4">
        <v>874674</v>
      </c>
      <c r="B47" s="3" t="inlineStr">
        <is>
          <t xml:space="preserve">Aromatiz. Gat. Santal 500ml</t>
        </is>
      </c>
      <c r="C47" s="4">
        <v>12</v>
      </c>
      <c r="D47" s="5">
        <v>54890.78</v>
      </c>
      <c r="E47" s="5">
        <f>IF(C47&gt;0,D47/C47,"")</f>
        <v>4574.2316666666666</v>
      </c>
    </row>
    <row r="48">
      <c r="A48" s="4">
        <v>874681</v>
      </c>
      <c r="B48" s="3" t="inlineStr">
        <is>
          <t xml:space="preserve">Aromatiz. Gat. One Alma 500ml</t>
        </is>
      </c>
      <c r="C48" s="4">
        <v>12</v>
      </c>
      <c r="D48" s="5">
        <v>54890.78</v>
      </c>
      <c r="E48" s="5">
        <f>IF(C48&gt;0,D48/C48,"")</f>
        <v>4574.2316666666666</v>
      </c>
    </row>
    <row r="49">
      <c r="A49" s="4">
        <v>874698</v>
      </c>
      <c r="B49" s="3" t="inlineStr">
        <is>
          <t xml:space="preserve">Aromatiz. Gat. Green Bamboo 500ml</t>
        </is>
      </c>
      <c r="C49" s="4">
        <v>12</v>
      </c>
      <c r="D49" s="5">
        <v>54890.78</v>
      </c>
      <c r="E49" s="5">
        <f>IF(C49&gt;0,D49/C49,"")</f>
        <v>4574.2316666666666</v>
      </c>
    </row>
    <row r="50">
      <c r="A50" s="4">
        <v>874704</v>
      </c>
      <c r="B50" s="3" t="inlineStr">
        <is>
          <t xml:space="preserve">Aromatiz. Gat. Cony Fresh 500ml</t>
        </is>
      </c>
      <c r="C50" s="4">
        <v>12</v>
      </c>
      <c r="D50" s="5">
        <v>54890.78</v>
      </c>
      <c r="E50" s="5">
        <f>IF(C50&gt;0,D50/C50,"")</f>
        <v>4574.2316666666666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>
        <v>48</v>
      </c>
      <c r="D4" s="5">
        <v>64694.15</v>
      </c>
      <c r="E4" s="5">
        <f>IF(C4&gt;0,D4/C4,"")</f>
        <v>1347.7947916666667</v>
      </c>
    </row>
    <row r="5">
      <c r="A5" s="4">
        <v>12302</v>
      </c>
      <c r="B5" s="3" t="inlineStr">
        <is>
          <t xml:space="preserve">ATÚN DESMENUZADO EN ACEITE Y AGUA 48 X 170G</t>
        </is>
      </c>
      <c r="C5" s="4">
        <v>48</v>
      </c>
      <c r="D5" s="5">
        <v>71248.48</v>
      </c>
      <c r="E5" s="5">
        <f>IF(C5&gt;0,D5/C5,"")</f>
        <v>1484.3433333333332</v>
      </c>
    </row>
    <row r="6">
      <c r="A6" s="4">
        <v>12303</v>
      </c>
      <c r="B6" s="3" t="inlineStr">
        <is>
          <t xml:space="preserve">LOMITOS DE ATÚN AL NATURAL 48 X 160G</t>
        </is>
      </c>
      <c r="C6" s="4">
        <v>48</v>
      </c>
      <c r="D6" s="5">
        <v>97173.07</v>
      </c>
      <c r="E6" s="5">
        <f>IF(C6&gt;0,D6/C6,"")</f>
        <v>2024.4389583333334</v>
      </c>
    </row>
    <row r="7">
      <c r="A7" s="4">
        <v>12304</v>
      </c>
      <c r="B7" s="3" t="inlineStr">
        <is>
          <t xml:space="preserve">LOMITOS DE ATÚN EN ACEITE Y AGUA 48 X 160G</t>
        </is>
      </c>
      <c r="C7" s="4">
        <v>48</v>
      </c>
      <c r="D7" s="5">
        <v>103805.22</v>
      </c>
      <c r="E7" s="5">
        <f>IF(C7&gt;0,D7/C7,"")</f>
        <v>2162.60875</v>
      </c>
    </row>
    <row r="8">
      <c r="A8" s="4">
        <v>12305</v>
      </c>
      <c r="B8" s="3" t="inlineStr">
        <is>
          <t xml:space="preserve">Aceite TAYAL 1X16</t>
        </is>
      </c>
      <c r="C8" s="4">
        <v>16</v>
      </c>
      <c r="D8" s="5">
        <v>99000.07</v>
      </c>
      <c r="E8" s="5">
        <f>IF(C8&gt;0,D8/C8,"")</f>
        <v>6187.504375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>
        <v>24</v>
      </c>
      <c r="D11" s="5">
        <v>16377.11</v>
      </c>
      <c r="E11" s="5">
        <f>IF(C11&gt;0,D11/C11,"")</f>
        <v>682.37958333333336</v>
      </c>
    </row>
    <row r="12">
      <c r="A12" s="4">
        <v>12309</v>
      </c>
      <c r="B12" s="3" t="inlineStr">
        <is>
          <t xml:space="preserve">Tomate Perita Cubeteado 400GRS X24</t>
        </is>
      </c>
      <c r="C12" s="4">
        <v>24</v>
      </c>
      <c r="D12" s="5">
        <v>17315.1</v>
      </c>
      <c r="E12" s="5">
        <f>IF(C12&gt;0,D12/C12,"")</f>
        <v>721.4625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>
        <v>16</v>
      </c>
      <c r="D15" s="5">
        <v>74775.68</v>
      </c>
      <c r="E15" s="5">
        <f>IF(C15&gt;0,D15/C15,"")</f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>
        <v>24</v>
      </c>
      <c r="D16" s="5">
        <v>23025.24</v>
      </c>
      <c r="E16" s="5">
        <f>IF(C16&gt;0,D16/C16,"")</f>
        <v>959.3850000000001</v>
      </c>
    </row>
    <row r="17">
      <c r="A17" s="4">
        <v>123108</v>
      </c>
      <c r="B17" s="3" t="inlineStr">
        <is>
          <t xml:space="preserve">Lenteja TAYAL 300gr x 24</t>
        </is>
      </c>
      <c r="C17" s="4">
        <v>24</v>
      </c>
      <c r="D17" s="5">
        <v>16543.8</v>
      </c>
      <c r="E17" s="5">
        <f>IF(C17&gt;0,D17/C17,"")</f>
        <v>689.32499999999993</v>
      </c>
    </row>
    <row r="18">
      <c r="A18" s="4">
        <v>123110</v>
      </c>
      <c r="B18" s="3" t="inlineStr">
        <is>
          <t xml:space="preserve">Poroto TAYAL 300g x 24u</t>
        </is>
      </c>
      <c r="C18" s="4">
        <v>24</v>
      </c>
      <c r="D18" s="5">
        <v>15175.43</v>
      </c>
      <c r="E18" s="5">
        <f>IF(C18&gt;0,D18/C18,"")</f>
        <v>632.30958333333331</v>
      </c>
    </row>
    <row r="19">
      <c r="A19" s="4">
        <v>123126</v>
      </c>
      <c r="B19" s="3" t="inlineStr">
        <is>
          <t xml:space="preserve">Garbanzo TAYAL 300g x 24u</t>
        </is>
      </c>
      <c r="C19" s="4">
        <v>24</v>
      </c>
      <c r="D19" s="5">
        <v>13475.43</v>
      </c>
      <c r="E19" s="5">
        <f>IF(C19&gt;0,D19/C19,"")</f>
        <v>561.47625</v>
      </c>
    </row>
    <row r="20">
      <c r="A20" s="4">
        <v>123135</v>
      </c>
      <c r="B20" s="3" t="inlineStr">
        <is>
          <t xml:space="preserve">Jardinera TAYAL 350g x 24u</t>
        </is>
      </c>
      <c r="C20" s="4">
        <v>24</v>
      </c>
      <c r="D20" s="5">
        <v>14005.41</v>
      </c>
      <c r="E20" s="5">
        <f>IF(C20&gt;0,D20/C20,"")</f>
        <v>583.55875</v>
      </c>
    </row>
    <row r="21">
      <c r="A21" s="4">
        <v>123150</v>
      </c>
      <c r="B21" s="3" t="inlineStr">
        <is>
          <t xml:space="preserve">Arveja TAYAL 300g x 24u</t>
        </is>
      </c>
      <c r="C21" s="4">
        <v>24</v>
      </c>
      <c r="D21" s="5">
        <v>11146.71</v>
      </c>
      <c r="E21" s="5">
        <f>IF(C21&gt;0,D21/C21,"")</f>
        <v>464.44624999999996</v>
      </c>
    </row>
    <row r="22">
      <c r="A22" s="4">
        <v>123204</v>
      </c>
      <c r="B22" s="3" t="inlineStr">
        <is>
          <t xml:space="preserve">Choclo Crema Amar. TAYAL 300g x 24u</t>
        </is>
      </c>
      <c r="C22" s="4">
        <v>24</v>
      </c>
      <c r="D22" s="5">
        <v>12052.47</v>
      </c>
      <c r="E22" s="5">
        <f>IF(C22&gt;0,D22/C22,"")</f>
        <v>502.18625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>
        <v>6</v>
      </c>
      <c r="D4" s="5">
        <v>8918.91</v>
      </c>
      <c r="E4" s="5">
        <f>IF(C4&gt;0,D4/C4,"")</f>
        <v>1486.485</v>
      </c>
    </row>
    <row r="5">
      <c r="A5" s="4">
        <v>5564</v>
      </c>
      <c r="B5" s="3" t="inlineStr">
        <is>
          <t xml:space="preserve">ENDU LED LIGHT BSUC 6X500GR</t>
        </is>
      </c>
      <c r="C5" s="4">
        <v>6</v>
      </c>
      <c r="D5" s="5">
        <v>9436.86</v>
      </c>
      <c r="E5" s="5">
        <f>IF(C5&gt;0,D5/C5,"")</f>
        <v>1572.8100000000002</v>
      </c>
    </row>
    <row r="6">
      <c r="A6" s="4">
        <v>69300</v>
      </c>
      <c r="B6" s="3" t="inlineStr">
        <is>
          <t xml:space="preserve">AZUCAR LEDESMA CLASICA 10X1KG</t>
        </is>
      </c>
      <c r="C6" s="4">
        <v>10</v>
      </c>
      <c r="D6" s="5">
        <v>14247.02</v>
      </c>
      <c r="E6" s="5">
        <f>IF(C6&gt;0,D6/C6,"")</f>
        <v>1424.702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15/10/2026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>
        <v>12</v>
      </c>
      <c r="D4" s="5">
        <v>25536.03</v>
      </c>
      <c r="E4" s="5">
        <f>IF(C4&gt;0,D4/C4,"")</f>
        <v>2128.0025</v>
      </c>
    </row>
    <row r="5">
      <c r="A5" s="4">
        <v>54460</v>
      </c>
      <c r="B5" s="3" t="inlineStr">
        <is>
          <t xml:space="preserve">MOSTAZA 4X30X60GR MENOYO</t>
        </is>
      </c>
      <c r="C5" s="4">
        <v>4</v>
      </c>
      <c r="D5" s="5">
        <v>27140.93</v>
      </c>
      <c r="E5" s="5">
        <f>IF(C5&gt;0,D5/C5,"")</f>
        <v>6785.2325</v>
      </c>
    </row>
    <row r="6">
      <c r="A6" s="4">
        <v>54500</v>
      </c>
      <c r="B6" s="3" t="inlineStr">
        <is>
          <t xml:space="preserve">VINAGRE DE ALCOHOL 12X500ML MENOYO</t>
        </is>
      </c>
      <c r="C6" s="4">
        <v>12</v>
      </c>
      <c r="D6" s="5">
        <v>10850.65</v>
      </c>
      <c r="E6" s="5">
        <f>IF(C6&gt;0,D6/C6,"")</f>
        <v>904.2208333333333</v>
      </c>
    </row>
    <row r="7">
      <c r="A7" s="4">
        <v>54604</v>
      </c>
      <c r="B7" s="3" t="inlineStr">
        <is>
          <t xml:space="preserve">MOSTAZA 30X60GR LIVIAN</t>
        </is>
      </c>
      <c r="C7" s="4">
        <v>30</v>
      </c>
      <c r="D7" s="5">
        <v>262068.94</v>
      </c>
      <c r="E7" s="5">
        <f>IF(C7&gt;0,D7/C7,"")</f>
        <v>8735.6313333333328</v>
      </c>
    </row>
    <row r="8">
      <c r="A8" s="4">
        <v>541000</v>
      </c>
      <c r="B8" s="3" t="inlineStr">
        <is>
          <t xml:space="preserve">VINAGRE DE ALCOHOL 12X1L MENOYO</t>
        </is>
      </c>
      <c r="C8" s="4">
        <v>12</v>
      </c>
      <c r="D8" s="5">
        <v>16236.99</v>
      </c>
      <c r="E8" s="5">
        <f>IF(C8&gt;0,D8/C8,"")</f>
        <v>1353.0825</v>
      </c>
    </row>
    <row r="9">
      <c r="A9" s="4">
        <v>541004</v>
      </c>
      <c r="B9" s="3" t="inlineStr">
        <is>
          <t xml:space="preserve">MAYONESA ORIGINAL 4X20X100cm3 LIVIAN</t>
        </is>
      </c>
      <c r="C9" s="4">
        <v>20</v>
      </c>
      <c r="D9" s="5">
        <v>10117.79</v>
      </c>
      <c r="E9" s="5">
        <f>IF(C9&gt;0,D9/C9,"")</f>
        <v>505.88950000000006</v>
      </c>
    </row>
    <row r="10">
      <c r="A10" s="4">
        <v>541206</v>
      </c>
      <c r="B10" s="3" t="inlineStr">
        <is>
          <t xml:space="preserve">ACEITE GIRASOL AEROSOL 6X120GR MENOYO</t>
        </is>
      </c>
      <c r="C10" s="4">
        <v>6</v>
      </c>
      <c r="D10" s="5">
        <v>24596.23</v>
      </c>
      <c r="E10" s="5">
        <f>IF(C10&gt;0,D10/C10,"")</f>
        <v>4099.3716666666669</v>
      </c>
    </row>
    <row r="11">
      <c r="A11" s="4">
        <v>542501</v>
      </c>
      <c r="B11" s="3" t="inlineStr">
        <is>
          <t xml:space="preserve">MAYONESA 12X250cm3 MENOYO</t>
        </is>
      </c>
      <c r="C11" s="4">
        <v>12</v>
      </c>
      <c r="D11" s="5">
        <v>8545.31</v>
      </c>
      <c r="E11" s="5">
        <f>IF(C11&gt;0,D11/C11,"")</f>
        <v>712.10916666666662</v>
      </c>
    </row>
    <row r="12">
      <c r="A12" s="4">
        <v>542502</v>
      </c>
      <c r="B12" s="3" t="inlineStr">
        <is>
          <t xml:space="preserve">MOSTAZA 12X250GR MENOYO</t>
        </is>
      </c>
      <c r="C12" s="4">
        <v>12</v>
      </c>
      <c r="D12" s="5">
        <v>8845.44</v>
      </c>
      <c r="E12" s="5">
        <f>IF(C12&gt;0,D12/C12,"")</f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>
        <v>12</v>
      </c>
      <c r="D13" s="5">
        <v>12293.94</v>
      </c>
      <c r="E13" s="5">
        <f>IF(C13&gt;0,D13/C13,"")</f>
        <v>1024.4950000000001</v>
      </c>
    </row>
    <row r="14">
      <c r="A14" s="4">
        <v>542506</v>
      </c>
      <c r="B14" s="3" t="inlineStr">
        <is>
          <t xml:space="preserve">JUGO DE LIMON 6X250ML MENOYO</t>
        </is>
      </c>
      <c r="C14" s="4">
        <v>6</v>
      </c>
      <c r="D14" s="5">
        <v>8181.44</v>
      </c>
      <c r="E14" s="5">
        <f>IF(C14&gt;0,D14/C14,"")</f>
        <v>1363.5733333333333</v>
      </c>
    </row>
    <row r="15">
      <c r="A15" s="4">
        <v>542507</v>
      </c>
      <c r="B15" s="3" t="inlineStr">
        <is>
          <t xml:space="preserve">JUGO DE LIMON 12X250ML MENOYO</t>
        </is>
      </c>
      <c r="C15" s="4">
        <v>12</v>
      </c>
      <c r="D15" s="5">
        <v>16362.88</v>
      </c>
      <c r="E15" s="5">
        <f>IF(C15&gt;0,D15/C15,"")</f>
        <v>1363.5733333333333</v>
      </c>
    </row>
    <row r="16">
      <c r="A16" s="4">
        <v>542508</v>
      </c>
      <c r="B16" s="3" t="inlineStr">
        <is>
          <t xml:space="preserve">MAYONESA LIGHT 12X250cm3 MENOYO</t>
        </is>
      </c>
      <c r="C16" s="4">
        <v>12</v>
      </c>
      <c r="D16" s="5">
        <v>9423.33</v>
      </c>
      <c r="E16" s="5">
        <f>IF(C16&gt;0,D16/C16,"")</f>
        <v>785.2775</v>
      </c>
    </row>
    <row r="17">
      <c r="A17" s="4">
        <v>544100</v>
      </c>
      <c r="B17" s="3" t="inlineStr">
        <is>
          <t xml:space="preserve">MAYONESA 4x20x100cm3 MENOYO</t>
        </is>
      </c>
      <c r="C17" s="4">
        <v>4</v>
      </c>
      <c r="D17" s="5">
        <v>29917.35</v>
      </c>
      <c r="E17" s="5">
        <f>IF(C17&gt;0,D17/C17,"")</f>
        <v>7479.3375</v>
      </c>
    </row>
    <row r="18">
      <c r="A18" s="4">
        <v>545000</v>
      </c>
      <c r="B18" s="3" t="inlineStr">
        <is>
          <t xml:space="preserve">BIDON VINAGRE DE ALCOHOL 4X5L MENOYO</t>
        </is>
      </c>
      <c r="C18" s="4">
        <v>4</v>
      </c>
      <c r="D18" s="5">
        <v>24797.69</v>
      </c>
      <c r="E18" s="5">
        <f>IF(C18&gt;0,D18/C18,"")</f>
        <v>6199.4225</v>
      </c>
    </row>
    <row r="19">
      <c r="A19" s="4">
        <v>545001</v>
      </c>
      <c r="B19" s="3" t="inlineStr">
        <is>
          <t xml:space="preserve">VINAGRE DE VINO 12X500ML MENOYO</t>
        </is>
      </c>
      <c r="C19" s="4">
        <v>12</v>
      </c>
      <c r="D19" s="5">
        <v>16801.82</v>
      </c>
      <c r="E19" s="5">
        <f>IF(C19&gt;0,D19/C19,"")</f>
        <v>1400.1516666666666</v>
      </c>
    </row>
    <row r="20">
      <c r="A20" s="4">
        <v>545002</v>
      </c>
      <c r="B20" s="3" t="inlineStr">
        <is>
          <t xml:space="preserve">VINAGRE DE MANZANA 12X500ML MENOYO</t>
        </is>
      </c>
      <c r="C20" s="4">
        <v>12</v>
      </c>
      <c r="D20" s="5">
        <v>20231.3</v>
      </c>
      <c r="E20" s="5">
        <f>IF(C20&gt;0,D20/C20,"")</f>
        <v>1685.9416666666666</v>
      </c>
    </row>
    <row r="21">
      <c r="A21" s="4">
        <v>545003</v>
      </c>
      <c r="B21" s="3" t="inlineStr">
        <is>
          <t xml:space="preserve">MAYONESA 15X500cm3 MENOYO</t>
        </is>
      </c>
      <c r="C21" s="4">
        <v>15</v>
      </c>
      <c r="D21" s="5">
        <v>22466.8</v>
      </c>
      <c r="E21" s="5">
        <f>IF(C21&gt;0,D21/C21,"")</f>
        <v>1497.7866666666666</v>
      </c>
    </row>
    <row r="22">
      <c r="A22" s="4">
        <v>545004</v>
      </c>
      <c r="B22" s="3" t="inlineStr">
        <is>
          <t xml:space="preserve">MAYONESA LIGHT 15X500cm3 MENOYO</t>
        </is>
      </c>
      <c r="C22" s="4">
        <v>15</v>
      </c>
      <c r="D22" s="5">
        <v>22920.91</v>
      </c>
      <c r="E22" s="5">
        <f>IF(C22&gt;0,D22/C22,"")</f>
        <v>1528.0606666666667</v>
      </c>
    </row>
    <row r="23">
      <c r="A23" s="4">
        <v>545005</v>
      </c>
      <c r="B23" s="3" t="inlineStr">
        <is>
          <t xml:space="preserve">VINAGRE DE ALCOHOL 12X500ML ALCAZAR</t>
        </is>
      </c>
      <c r="C23" s="4">
        <v>12</v>
      </c>
      <c r="D23" s="5">
        <v>8681.07</v>
      </c>
      <c r="E23" s="5">
        <f>IF(C23&gt;0,D23/C23,"")</f>
        <v>723.4225</v>
      </c>
    </row>
    <row r="24">
      <c r="A24" s="4">
        <v>545006</v>
      </c>
      <c r="B24" s="3" t="inlineStr">
        <is>
          <t xml:space="preserve">JUGO DE LIMON 6X500ML MENOYO</t>
        </is>
      </c>
      <c r="C24" s="4">
        <v>6</v>
      </c>
      <c r="D24" s="5">
        <v>12639.37</v>
      </c>
      <c r="E24" s="5">
        <f>IF(C24&gt;0,D24/C24,"")</f>
        <v>2106.561666666667</v>
      </c>
    </row>
    <row r="25">
      <c r="A25" s="4">
        <v>545007</v>
      </c>
      <c r="B25" s="3" t="inlineStr">
        <is>
          <t xml:space="preserve">VINAGRE DE VINO 12X500ML ALCAZAR</t>
        </is>
      </c>
      <c r="C25" s="4">
        <v>12</v>
      </c>
      <c r="D25" s="5">
        <v>13441.45</v>
      </c>
      <c r="E25" s="5">
        <f>IF(C25&gt;0,D25/C25,"")</f>
        <v>1120.1208333333334</v>
      </c>
    </row>
    <row r="26">
      <c r="A26" s="4">
        <v>545008</v>
      </c>
      <c r="B26" s="3" t="inlineStr">
        <is>
          <t xml:space="preserve">VINAGRE DE MANZANA 12X500ML ALCAZAR</t>
        </is>
      </c>
      <c r="C26" s="4">
        <v>12</v>
      </c>
      <c r="D26" s="5">
        <v>16185.01</v>
      </c>
      <c r="E26" s="5">
        <f>IF(C26&gt;0,D26/C26,"")</f>
        <v>1348.7508333333333</v>
      </c>
    </row>
    <row r="27">
      <c r="A27" s="4">
        <v>5410001</v>
      </c>
      <c r="B27" s="3" t="inlineStr">
        <is>
          <t xml:space="preserve">VINAGRE DE VINO 12X1L MENOYO</t>
        </is>
      </c>
      <c r="C27" s="4">
        <v>12</v>
      </c>
      <c r="D27" s="5">
        <v>25661.05</v>
      </c>
      <c r="E27" s="5">
        <f>IF(C27&gt;0,D27/C27,"")</f>
        <v>2138.4208333333331</v>
      </c>
    </row>
    <row r="28">
      <c r="A28" s="4">
        <v>5410002</v>
      </c>
      <c r="B28" s="3" t="inlineStr">
        <is>
          <t xml:space="preserve">VINAGRE DE ALCOHOL 12X1L ALCAZAR</t>
        </is>
      </c>
      <c r="C28" s="4">
        <v>12</v>
      </c>
      <c r="D28" s="5">
        <v>12989.59</v>
      </c>
      <c r="E28" s="5">
        <f>IF(C28&gt;0,D28/C28,"")</f>
        <v>1082.4658333333334</v>
      </c>
    </row>
    <row r="29">
      <c r="A29" s="4">
        <v>5410003</v>
      </c>
      <c r="B29" s="3" t="inlineStr">
        <is>
          <t xml:space="preserve">JUGO DE LIMON 12X1L MENOYO</t>
        </is>
      </c>
      <c r="C29" s="4">
        <v>12</v>
      </c>
      <c r="D29" s="5">
        <v>35743.74</v>
      </c>
      <c r="E29" s="5">
        <f>IF(C29&gt;0,D29/C29,"")</f>
        <v>2978.645</v>
      </c>
    </row>
    <row r="30">
      <c r="A30" s="4">
        <v>5412061</v>
      </c>
      <c r="B30" s="3" t="inlineStr">
        <is>
          <t xml:space="preserve">ACEITE DE MANTECA AEROSOL 6X120GR MENOYO</t>
        </is>
      </c>
      <c r="C30" s="4">
        <v>6</v>
      </c>
      <c r="D30" s="5">
        <v>24596.23</v>
      </c>
      <c r="E30" s="5">
        <f>IF(C30&gt;0,D30/C30,"")</f>
        <v>4099.3716666666669</v>
      </c>
    </row>
    <row r="31">
      <c r="A31" s="4">
        <v>5425041</v>
      </c>
      <c r="B31" s="3" t="inlineStr">
        <is>
          <t xml:space="preserve">MAYONESA LIGHT EQUIL 12X250cm3 LIVIAN</t>
        </is>
      </c>
      <c r="C31" s="4">
        <v>12</v>
      </c>
      <c r="D31" s="5">
        <v>12660.86</v>
      </c>
      <c r="E31" s="5">
        <f>IF(C31&gt;0,D31/C31,"")</f>
        <v>1055.0716666666667</v>
      </c>
    </row>
    <row r="32">
      <c r="A32" s="4">
        <v>5425042</v>
      </c>
      <c r="B32" s="3" t="inlineStr">
        <is>
          <t xml:space="preserve">MAYONESA OLIVA 12X250cm3 LIVIAN</t>
        </is>
      </c>
      <c r="C32" s="4">
        <v>12</v>
      </c>
      <c r="D32" s="5">
        <v>1750.56</v>
      </c>
      <c r="E32" s="5">
        <f>IF(C32&gt;0,D32/C32,"")</f>
        <v>145.88</v>
      </c>
    </row>
    <row r="33">
      <c r="A33" s="4">
        <v>5425043</v>
      </c>
      <c r="B33" s="3" t="inlineStr">
        <is>
          <t xml:space="preserve">MAYONESA AHUMADA 12X250cm3 LIVIAN</t>
        </is>
      </c>
      <c r="C33" s="4">
        <v>12</v>
      </c>
      <c r="D33" s="5">
        <v>21006.66</v>
      </c>
      <c r="E33" s="5">
        <f>IF(C33&gt;0,D33/C33,"")</f>
        <v>1750.555</v>
      </c>
    </row>
    <row r="34">
      <c r="A34" s="4">
        <v>5425044</v>
      </c>
      <c r="B34" s="3" t="inlineStr">
        <is>
          <t xml:space="preserve">MAYONESA SABOR AJO 12X250cm3 LIVIAN</t>
        </is>
      </c>
      <c r="C34" s="4">
        <v>12</v>
      </c>
      <c r="D34" s="5">
        <v>21006.66</v>
      </c>
      <c r="E34" s="5">
        <f>IF(C34&gt;0,D34/C34,"")</f>
        <v>1750.555</v>
      </c>
    </row>
    <row r="35">
      <c r="A35" s="4">
        <v>5425045</v>
      </c>
      <c r="B35" s="3" t="inlineStr">
        <is>
          <t xml:space="preserve">MOSTAZA 12X250GR LIVIAN</t>
        </is>
      </c>
      <c r="C35" s="4">
        <v>12</v>
      </c>
      <c r="D35" s="5">
        <v>10921.8</v>
      </c>
      <c r="E35" s="5">
        <f>IF(C35&gt;0,D35/C35,"")</f>
        <v>910.15</v>
      </c>
    </row>
    <row r="36">
      <c r="A36" s="4">
        <v>5425062</v>
      </c>
      <c r="B36" s="3" t="inlineStr">
        <is>
          <t xml:space="preserve">SALSA DE SOJA 6X250ML MENOYO</t>
        </is>
      </c>
      <c r="C36" s="4">
        <v>6</v>
      </c>
      <c r="D36" s="5">
        <v>12579.84</v>
      </c>
      <c r="E36" s="5">
        <f>IF(C36&gt;0,D36/C36,"")</f>
        <v>2096.64</v>
      </c>
    </row>
    <row r="37">
      <c r="A37" s="4">
        <v>5450041</v>
      </c>
      <c r="B37" s="3" t="inlineStr">
        <is>
          <t xml:space="preserve">MAYONESA LIGHT EQUIL 15X500cm3 LIVIAN</t>
        </is>
      </c>
      <c r="C37" s="4">
        <v>15</v>
      </c>
      <c r="D37" s="5">
        <v>29082.11</v>
      </c>
      <c r="E37" s="5">
        <f>IF(C37&gt;0,D37/C37,"")</f>
        <v>1938.8073333333334</v>
      </c>
    </row>
    <row r="38">
      <c r="A38" s="4">
        <v>5450061</v>
      </c>
      <c r="B38" s="3" t="inlineStr">
        <is>
          <t xml:space="preserve">SALSA DE SOJA 6X500ML MENOYO</t>
        </is>
      </c>
      <c r="C38" s="4">
        <v>6</v>
      </c>
      <c r="D38" s="5">
        <v>24580.62</v>
      </c>
      <c r="E38" s="5">
        <f>IF(C38&gt;0,D38/C38,"")</f>
        <v>4096.7699999999995</v>
      </c>
    </row>
    <row r="39">
      <c r="A39" s="4">
        <v>54510002</v>
      </c>
      <c r="B39" s="3" t="inlineStr">
        <is>
          <t xml:space="preserve">VINAGRE DE MANZANA 12X1L MENOYO</t>
        </is>
      </c>
      <c r="C39" s="4">
        <v>12</v>
      </c>
      <c r="D39" s="5">
        <v>33911.61</v>
      </c>
      <c r="E39" s="5">
        <f>IF(C39&gt;0,D39/C39,"")</f>
        <v>2825.9675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MASA MADRE S/GLUTE X 400 G</t>
        </is>
      </c>
      <c r="C11" s="4">
        <v>10</v>
      </c>
      <c r="D11" s="5">
        <v>19326.25</v>
      </c>
      <c r="E11" s="5">
        <f>IF(C11&gt;0,D11/C11,"")</f>
        <v>1932.625</v>
      </c>
    </row>
    <row r="12">
      <c r="A12" s="4">
        <v>3626034</v>
      </c>
      <c r="B12" s="3" t="inlineStr">
        <is>
          <t xml:space="preserve">PREM PAN DE QUESO S/GLUTEN X 300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3626040</v>
      </c>
      <c r="B13" s="3" t="inlineStr">
        <is>
          <t xml:space="preserve">HARINA 00 PIZZA NAPOLETANA 10 X 1  KG</t>
        </is>
      </c>
      <c r="C13" s="4">
        <v>10</v>
      </c>
      <c r="D13" s="5">
        <v>25610.4</v>
      </c>
      <c r="E13" s="5">
        <f>IF(C13&gt;0,D13/C13,"")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>
        <v>750</v>
      </c>
      <c r="D8" s="5">
        <v>11592005.7</v>
      </c>
      <c r="E8" s="5">
        <f>IF(C8&gt;0,D8/C8,"")</f>
        <v>15456.007599999999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>
        <v>6</v>
      </c>
      <c r="D11" s="5">
        <v>51452.49</v>
      </c>
      <c r="E11" s="5">
        <f>IF(C11&gt;0,D11/C11,"")</f>
        <v>8575.4149999999991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>
        <v>6</v>
      </c>
      <c r="D15" s="5">
        <v>10014.66</v>
      </c>
      <c r="E15" s="5">
        <f>IF(C15&gt;0,D15/C15,"")</f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>
        <v>15</v>
      </c>
      <c r="D14" s="5">
        <v>12818.09</v>
      </c>
      <c r="E14" s="5">
        <f>IF(C14&gt;0,D14/C14,"")</f>
        <v>854.53933333333339</v>
      </c>
    </row>
    <row r="15">
      <c r="A15" s="4">
        <v>4180154</v>
      </c>
      <c r="B15" s="3" t="inlineStr">
        <is>
          <t xml:space="preserve">Maní c Sal s/piel 100g x 15 u</t>
        </is>
      </c>
      <c r="C15" s="4">
        <v>15</v>
      </c>
      <c r="D15" s="5">
        <v>12574.27</v>
      </c>
      <c r="E15" s="5">
        <f>IF(C15&gt;0,D15/C15,"")</f>
        <v>838.28466666666668</v>
      </c>
    </row>
    <row r="16">
      <c r="A16" s="4">
        <v>4180155</v>
      </c>
      <c r="B16" s="3" t="inlineStr">
        <is>
          <t xml:space="preserve">Maní Sal con Piel 100G X 15u</t>
        </is>
      </c>
      <c r="C16" s="4">
        <v>15</v>
      </c>
      <c r="D16" s="5">
        <v>12574.27</v>
      </c>
      <c r="E16" s="5">
        <f>IF(C16&gt;0,D16/C16,"")</f>
        <v>838.28466666666668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>
        <v>10</v>
      </c>
      <c r="D22" s="5">
        <v>22706.91</v>
      </c>
      <c r="E22" s="5">
        <f>IF(C22&gt;0,D22/C22,"")</f>
        <v>2270.691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>
        <v>20</v>
      </c>
      <c r="D26" s="5">
        <v>55511.48</v>
      </c>
      <c r="E26" s="5">
        <f>IF(C26&gt;0,D26/C26,"")</f>
        <v>2775.574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>
        <v>16</v>
      </c>
      <c r="D30" s="5">
        <v>26992.68</v>
      </c>
      <c r="E30" s="5">
        <f>IF(C30&gt;0,D30/C30,"")</f>
        <v>1687.0425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>
        <v>24</v>
      </c>
      <c r="D4" s="5">
        <v>108134.22</v>
      </c>
      <c r="E4" s="5">
        <f>IF(C4&gt;0,D4/C4,"")</f>
        <v>4505.5925</v>
      </c>
    </row>
    <row r="5">
      <c r="A5" s="4">
        <v>2425</v>
      </c>
      <c r="B5" s="3" t="inlineStr">
        <is>
          <t xml:space="preserve">CAJA MEDALL.CONG.214 80G 30X2 U 4,800 K</t>
        </is>
      </c>
      <c r="C5" s="4">
        <v>30</v>
      </c>
      <c r="D5" s="5">
        <v>73463.94</v>
      </c>
      <c r="E5" s="5">
        <f>IF(C5&gt;0,D5/C5,"")</f>
        <v>2448.7980000000002</v>
      </c>
    </row>
    <row r="6">
      <c r="A6" s="4">
        <v>5014</v>
      </c>
      <c r="B6" s="3" t="inlineStr">
        <is>
          <t xml:space="preserve">MEDALLON CV CONGEL.CHAMPION 24X4U 5376G</t>
        </is>
      </c>
      <c r="C6" s="4">
        <v>24</v>
      </c>
      <c r="D6" s="5">
        <v>60171.46</v>
      </c>
      <c r="E6" s="5">
        <f>IF(C6&gt;0,D6/C6,"")</f>
        <v>2507.1441666666665</v>
      </c>
    </row>
    <row r="7">
      <c r="A7" s="4">
        <v>1001717</v>
      </c>
      <c r="B7" s="3" t="inlineStr">
        <is>
          <t xml:space="preserve">CAJA 20 X 6 UN. SALCHICHAS 214 225 GRS.</t>
        </is>
      </c>
      <c r="C7" s="4">
        <v>20</v>
      </c>
      <c r="D7" s="5">
        <v>34259.21</v>
      </c>
      <c r="E7" s="5">
        <f>IF(C7&gt;0,D7/C7,"")</f>
        <v>1712.9605</v>
      </c>
    </row>
    <row r="8">
      <c r="A8" s="4">
        <v>1001719</v>
      </c>
      <c r="B8" s="3" t="inlineStr">
        <is>
          <t xml:space="preserve">CAJA 10 X 12 UN. SALCHICHAS 214 450 GRS</t>
        </is>
      </c>
      <c r="C8" s="4">
        <v>10</v>
      </c>
      <c r="D8" s="5">
        <v>33818.05</v>
      </c>
      <c r="E8" s="5">
        <f>IF(C8&gt;0,D8/C8,"")</f>
        <v>3381.8050000000003</v>
      </c>
    </row>
    <row r="9">
      <c r="A9" s="4">
        <v>1004730</v>
      </c>
      <c r="B9" s="3" t="inlineStr">
        <is>
          <t xml:space="preserve">SALCH.CHAMPIFIESTA S/PIEL CAJA 30X180 G</t>
        </is>
      </c>
      <c r="C9" s="4">
        <v>30</v>
      </c>
      <c r="D9" s="5">
        <v>37619.5</v>
      </c>
      <c r="E9" s="5">
        <f>IF(C9&gt;0,D9/C9,"")</f>
        <v>1253.9833333333333</v>
      </c>
    </row>
    <row r="10">
      <c r="A10" s="4">
        <v>1004735</v>
      </c>
      <c r="B10" s="3" t="inlineStr">
        <is>
          <t xml:space="preserve">SALCH.COC.Y AHU.S/PIEL L/GLUTEN 10PAQX12</t>
        </is>
      </c>
      <c r="C10" s="4">
        <v>10</v>
      </c>
      <c r="D10" s="5">
        <v>30594.12</v>
      </c>
      <c r="E10" s="5">
        <f>IF(C10&gt;0,D10/C10,"")</f>
        <v>3059.412</v>
      </c>
    </row>
    <row r="11">
      <c r="A11" s="4">
        <v>1004736</v>
      </c>
      <c r="B11" s="3" t="inlineStr">
        <is>
          <t xml:space="preserve">SALCH.COC.Y AHU.S/PIEL L/GLUTEN 20PAQX6</t>
        </is>
      </c>
      <c r="C11" s="4">
        <v>20</v>
      </c>
      <c r="D11" s="5">
        <v>30193.13</v>
      </c>
      <c r="E11" s="5">
        <f>IF(C11&gt;0,D11/C11,"")</f>
        <v>1509.6565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