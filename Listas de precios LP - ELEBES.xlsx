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14/10/2026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55450.42</v>
      </c>
      <c r="F111" s="5">
        <f>IF(D111&gt;0,E111/D111,"")</f>
        <v>1026.8596296296296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/>
      <c r="D14" s="5"/>
      <c r="E14" s="5">
        <v>16304.4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52228.72</v>
      </c>
      <c r="E5" s="5">
        <f>IF(C5&gt;0,D5/C5,"")</f>
        <v>4352.3933333333334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51104.97</v>
      </c>
      <c r="E10" s="5">
        <f>IF(C10&gt;0,D10/C10,"")</f>
        <v>8517.495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33146.32</v>
      </c>
      <c r="E11" s="5">
        <f>IF(C11&gt;0,D11/C11,"")</f>
        <v>5524.3866666666663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46427.75</v>
      </c>
      <c r="E13" s="5">
        <f>IF(C13&gt;0,D13/C13,"")</f>
        <v>3868.9791666666665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91430.83</v>
      </c>
      <c r="E14" s="5">
        <f>IF(C14&gt;0,D14/C14,"")</f>
        <v>7619.2358333333332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127610.75</v>
      </c>
      <c r="E15" s="5">
        <f>IF(C15&gt;0,D15/C15,"")</f>
        <v>10634.229166666666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87748.96</v>
      </c>
      <c r="E16" s="5">
        <f>IF(C16&gt;0,D16/C16,"")</f>
        <v>7312.4133333333339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46125.2</v>
      </c>
      <c r="E20" s="5">
        <f>IF(C20&gt;0,D20/C20,"")</f>
        <v>1921.8833333333332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6</v>
      </c>
      <c r="D21" s="5">
        <v>41084.91</v>
      </c>
      <c r="E21" s="5">
        <f>IF(C21&gt;0,D21/C21,"")</f>
        <v>6847.4850000000006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76142.37</v>
      </c>
      <c r="E22" s="5">
        <f>IF(C22&gt;0,D22/C22,"")</f>
        <v>12690.394999999999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38938.8</v>
      </c>
      <c r="E23" s="5">
        <f>IF(C23&gt;0,D23/C23,"")</f>
        <v>1622.45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57592.37</v>
      </c>
      <c r="E24" s="5">
        <f>IF(C24&gt;0,D24/C24,"")</f>
        <v>9598.7283333333344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23765.08</v>
      </c>
      <c r="E25" s="5">
        <f>IF(C25&gt;0,D25/C25,"")</f>
        <v>1980.4233333333334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23765.08</v>
      </c>
      <c r="E26" s="5">
        <f>IF(C26&gt;0,D26/C26,"")</f>
        <v>1980.4233333333334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23765.08</v>
      </c>
      <c r="E27" s="5">
        <f>IF(C27&gt;0,D27/C27,"")</f>
        <v>1980.4233333333334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23765.08</v>
      </c>
      <c r="E28" s="5">
        <f>IF(C28&gt;0,D28/C28,"")</f>
        <v>1980.4233333333334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23765.08</v>
      </c>
      <c r="E29" s="5">
        <f>IF(C29&gt;0,D29/C29,"")</f>
        <v>1980.4233333333334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41089.19</v>
      </c>
      <c r="E30" s="5">
        <f>IF(C30&gt;0,D30/C30,"")</f>
        <v>3424.0991666666669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41089.19</v>
      </c>
      <c r="E31" s="5">
        <f>IF(C31&gt;0,D31/C31,"")</f>
        <v>3424.0991666666669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41089.19</v>
      </c>
      <c r="E32" s="5">
        <f>IF(C32&gt;0,D32/C32,"")</f>
        <v>3424.0991666666669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41089.19</v>
      </c>
      <c r="E33" s="5">
        <f>IF(C33&gt;0,D33/C33,"")</f>
        <v>3424.0991666666669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41089.19</v>
      </c>
      <c r="E34" s="5">
        <f>IF(C34&gt;0,D34/C34,"")</f>
        <v>3424.0991666666669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41089.19</v>
      </c>
      <c r="E35" s="5">
        <f>IF(C35&gt;0,D35/C35,"")</f>
        <v>3424.0991666666669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45849.9</v>
      </c>
      <c r="E36" s="5">
        <f>IF(C36&gt;0,D36/C36,"")</f>
        <v>1910.4125000000001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45849.9</v>
      </c>
      <c r="E37" s="5">
        <f>IF(C37&gt;0,D37/C37,"")</f>
        <v>1910.4125000000001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45849.9</v>
      </c>
      <c r="E38" s="5">
        <f>IF(C38&gt;0,D38/C38,"")</f>
        <v>1910.4125000000001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45849.9</v>
      </c>
      <c r="E39" s="5">
        <f>IF(C39&gt;0,D39/C39,"")</f>
        <v>1910.4125000000001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45849.9</v>
      </c>
      <c r="E40" s="5">
        <f>IF(C40&gt;0,D40/C40,"")</f>
        <v>1910.4125000000001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54460.01</v>
      </c>
      <c r="E41" s="5">
        <f>IF(C41&gt;0,D41/C41,"")</f>
        <v>9076.6683333333331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53484.23</v>
      </c>
      <c r="E42" s="5">
        <f>IF(C42&gt;0,D42/C42,"")</f>
        <v>2228.5095833333335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116887.69</v>
      </c>
      <c r="E43" s="5">
        <f>IF(C43&gt;0,D43/C43,"")</f>
        <v>9740.6408333333329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23765.08</v>
      </c>
      <c r="E44" s="5">
        <f>IF(C44&gt;0,D44/C44,"")</f>
        <v>1980.4233333333334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23765.08</v>
      </c>
      <c r="E45" s="5">
        <f>IF(C45&gt;0,D45/C45,"")</f>
        <v>1980.4233333333334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45849.9</v>
      </c>
      <c r="E46" s="5">
        <f>IF(C46&gt;0,D46/C46,"")</f>
        <v>1910.4125000000001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23765.08</v>
      </c>
      <c r="E47" s="5">
        <f>IF(C47&gt;0,D47/C47,"")</f>
        <v>1980.4233333333334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23765.08</v>
      </c>
      <c r="E48" s="5">
        <f>IF(C48&gt;0,D48/C48,"")</f>
        <v>1980.4233333333334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23765.08</v>
      </c>
      <c r="E49" s="5">
        <f>IF(C49&gt;0,D49/C49,"")</f>
        <v>1980.4233333333334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23765.08</v>
      </c>
      <c r="E50" s="5">
        <f>IF(C50&gt;0,D50/C50,"")</f>
        <v>1980.4233333333334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23765.08</v>
      </c>
      <c r="E51" s="5">
        <f>IF(C51&gt;0,D51/C51,"")</f>
        <v>1980.4233333333334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23765.08</v>
      </c>
      <c r="E52" s="5">
        <f>IF(C52&gt;0,D52/C52,"")</f>
        <v>1980.4233333333334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23765.08</v>
      </c>
      <c r="E53" s="5">
        <f>IF(C53&gt;0,D53/C53,"")</f>
        <v>1980.4233333333334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23765.08</v>
      </c>
      <c r="E54" s="5">
        <f>IF(C54&gt;0,D54/C54,"")</f>
        <v>1980.4233333333334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35450.64</v>
      </c>
      <c r="E56" s="5">
        <f>IF(C56&gt;0,D56/C56,"")</f>
        <v>2954.22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14185.1</v>
      </c>
      <c r="E57" s="5">
        <f>IF(C57&gt;0,D57/C57,"")</f>
        <v>1182.0916666666667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14185.1</v>
      </c>
      <c r="E58" s="5">
        <f>IF(C58&gt;0,D58/C58,"")</f>
        <v>1182.0916666666667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14185.1</v>
      </c>
      <c r="E59" s="5">
        <f>IF(C59&gt;0,D59/C59,"")</f>
        <v>1182.0916666666667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14185.1</v>
      </c>
      <c r="E60" s="5">
        <f>IF(C60&gt;0,D60/C60,"")</f>
        <v>1182.0916666666667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14185.1</v>
      </c>
      <c r="E61" s="5">
        <f>IF(C61&gt;0,D61/C61,"")</f>
        <v>1182.0916666666667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42118.81</v>
      </c>
      <c r="E63" s="5">
        <f>IF(C63&gt;0,D63/C63,"")</f>
        <v>1754.9504166666666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41089.19</v>
      </c>
      <c r="E65" s="5">
        <f>IF(C65&gt;0,D65/C65,"")</f>
        <v>3424.0991666666669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39014866</v>
      </c>
      <c r="B67" s="3" t="inlineStr">
        <is>
          <t xml:space="preserve">1882 FERNET CON POMELO 7 473mlx6x4</t>
        </is>
      </c>
      <c r="C67" s="4">
        <v>24</v>
      </c>
      <c r="D67" s="5">
        <v>37989.09</v>
      </c>
      <c r="E67" s="5">
        <f>IF(C67&gt;0,D67/C67,"")</f>
        <v>1582.8787499999999</v>
      </c>
    </row>
    <row r="68">
      <c r="A68" s="4">
        <v>39014882</v>
      </c>
      <c r="B68" s="3" t="inlineStr">
        <is>
          <t xml:space="preserve">Gancia LIMA LIMON ONE 4x6x473</t>
        </is>
      </c>
      <c r="C68" s="4">
        <v>24</v>
      </c>
      <c r="D68" s="5">
        <v>51692.42</v>
      </c>
      <c r="E68" s="5">
        <f>IF(C68&gt;0,D68/C68,"")</f>
        <v>2153.8508333333334</v>
      </c>
    </row>
    <row r="69">
      <c r="A69" s="4">
        <v>39014884</v>
      </c>
      <c r="B69" s="3" t="inlineStr">
        <is>
          <t xml:space="preserve">DR LEMON RED BERRIES 5% 4x6x473</t>
        </is>
      </c>
      <c r="C69" s="4">
        <v>24</v>
      </c>
      <c r="D69" s="5">
        <v>45849.9</v>
      </c>
      <c r="E69" s="5">
        <f>IF(C69&gt;0,D69/C69,"")</f>
        <v>1910.4125000000001</v>
      </c>
    </row>
    <row r="70">
      <c r="A70" s="4">
        <v>39014996</v>
      </c>
      <c r="B70" s="3" t="inlineStr">
        <is>
          <t xml:space="preserve">Martini Rosso 16° 12x995ml</t>
        </is>
      </c>
      <c r="C70" s="4">
        <v>12</v>
      </c>
      <c r="D70" s="5">
        <v>91430.83</v>
      </c>
      <c r="E70" s="5">
        <f>IF(C70&gt;0,D70/C70,"")</f>
        <v>7619.2358333333332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GARAPIÑADA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/>
      <c r="D54" s="5"/>
      <c r="E54" s="5">
        <v>1239.44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/>
      <c r="D63" s="5"/>
      <c r="E63" s="5">
        <v>2086.91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22179.3</v>
      </c>
      <c r="E84" s="5">
        <f>IF(C84&gt;0,D84/C84,"")</f>
        <v>1848.2749999999999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22179.3</v>
      </c>
      <c r="E85" s="5">
        <f>IF(C85&gt;0,D85/C85,"")</f>
        <v>1848.2749999999999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27804.63</v>
      </c>
      <c r="E86" s="5">
        <f>IF(C86&gt;0,D86/C86,"")</f>
        <v>2317.0525000000002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28134.39</v>
      </c>
      <c r="E87" s="5">
        <f>IF(C87&gt;0,D87/C87,"")</f>
        <v>2344.5325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10850.94</v>
      </c>
      <c r="E6" s="5">
        <f>IF(C6&gt;0,D6/C6,"")</f>
        <v>904.245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16237.28</v>
      </c>
      <c r="E8" s="5">
        <f>IF(C8&gt;0,D8/C8,"")</f>
        <v>1353.1066666666668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8681.22</v>
      </c>
      <c r="E23" s="5">
        <f>IF(C23&gt;0,D23/C23,"")</f>
        <v>723.435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MENOYO</t>
        </is>
      </c>
      <c r="C28" s="4"/>
      <c r="D28" s="5"/>
      <c r="E28" s="5">
        <v>15192.87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/>
      <c r="D30" s="5"/>
      <c r="E30" s="5">
        <v>4099.37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21006.66</v>
      </c>
      <c r="E32" s="5">
        <f>IF(C32&gt;0,D32/C32,"")</f>
        <v>1750.555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MASA MADRE S/GLUTE X 400 G</t>
        </is>
      </c>
      <c r="C11" s="4">
        <v>10</v>
      </c>
      <c r="D11" s="5">
        <v>19326.25</v>
      </c>
      <c r="E11" s="5">
        <f>IF(C11&gt;0,D11/C11,"")</f>
        <v>1932.625</v>
      </c>
    </row>
    <row r="12">
      <c r="A12" s="4">
        <v>3626034</v>
      </c>
      <c r="B12" s="3" t="inlineStr">
        <is>
          <t xml:space="preserve">PREM PAN DE QUESO S/GLUTEN X 300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3626040</v>
      </c>
      <c r="B13" s="3" t="inlineStr">
        <is>
          <t xml:space="preserve">HARINA 00 PIZZA NAPOLETANA 10 X 1  KG</t>
        </is>
      </c>
      <c r="C13" s="4">
        <v>10</v>
      </c>
      <c r="D13" s="5">
        <v>25610.4</v>
      </c>
      <c r="E13" s="5">
        <f>IF(C13&gt;0,D13/C13,"")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