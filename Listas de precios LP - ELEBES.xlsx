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20/10/2026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1506286</v>
      </c>
      <c r="B95" s="3" t="inlineStr">
        <is>
          <t xml:space="preserve">Paños Maxwipe x70 Rollo x88/6</t>
        </is>
      </c>
      <c r="C95" s="4"/>
      <c r="D95" s="4">
        <v>6</v>
      </c>
      <c r="E95" s="5">
        <v>18455.39</v>
      </c>
      <c r="F95" s="5">
        <f>IF(D95&gt;0,E95/D95,"")</f>
        <v>3075.8983333333331</v>
      </c>
    </row>
    <row r="96">
      <c r="A96" s="4">
        <v>1506385</v>
      </c>
      <c r="B96" s="3" t="inlineStr">
        <is>
          <t xml:space="preserve">Paños Maxwipe 60 Q X50/12 Blanco</t>
        </is>
      </c>
      <c r="C96" s="4"/>
      <c r="D96" s="4">
        <v>12</v>
      </c>
      <c r="E96" s="5">
        <v>48228.18</v>
      </c>
      <c r="F96" s="5">
        <f>IF(D96&gt;0,E96/D96,"")</f>
        <v>4019.015</v>
      </c>
    </row>
    <row r="97">
      <c r="A97" s="4">
        <v>1506523</v>
      </c>
      <c r="B97" s="3" t="inlineStr">
        <is>
          <t xml:space="preserve">Serv Elite Int Plus SH X250/72</t>
        </is>
      </c>
      <c r="C97" s="4"/>
      <c r="D97" s="4">
        <v>72</v>
      </c>
      <c r="E97" s="5">
        <v>63234.6</v>
      </c>
      <c r="F97" s="5">
        <f>IF(D97&gt;0,E97/D97,"")</f>
        <v>878.25833333333333</v>
      </c>
    </row>
    <row r="98">
      <c r="A98" s="4">
        <v>1509232</v>
      </c>
      <c r="B98" s="3" t="inlineStr">
        <is>
          <t xml:space="preserve">RC NOBLE 40P x3/10</t>
        </is>
      </c>
      <c r="C98" s="4">
        <v>48</v>
      </c>
      <c r="D98" s="4">
        <v>10</v>
      </c>
      <c r="E98" s="5">
        <v>15947.45</v>
      </c>
      <c r="F98" s="5">
        <f>IF(D98&gt;0,E98/D98,"")</f>
        <v>1594.7450000000001</v>
      </c>
    </row>
    <row r="99">
      <c r="A99" s="4">
        <v>1509243</v>
      </c>
      <c r="B99" s="3" t="inlineStr">
        <is>
          <t xml:space="preserve">PH NOBLE HS 30M X4/12</t>
        </is>
      </c>
      <c r="C99" s="4">
        <v>60</v>
      </c>
      <c r="D99" s="4">
        <v>12</v>
      </c>
      <c r="E99" s="5">
        <v>21596.33</v>
      </c>
      <c r="F99" s="5">
        <f>IF(D99&gt;0,E99/D99,"")</f>
        <v>1799.6941666666669</v>
      </c>
    </row>
    <row r="100">
      <c r="A100" s="4">
        <v>1509244</v>
      </c>
      <c r="B100" s="3" t="inlineStr">
        <is>
          <t xml:space="preserve">PH NOBLE HS 30X6</t>
        </is>
      </c>
      <c r="C100" s="4">
        <v>48</v>
      </c>
      <c r="D100" s="4">
        <v>10</v>
      </c>
      <c r="E100" s="5">
        <v>26082.47</v>
      </c>
      <c r="F100" s="5">
        <f>IF(D100&gt;0,E100/D100,"")</f>
        <v>2608.2470000000003</v>
      </c>
    </row>
    <row r="101">
      <c r="A101" s="4">
        <v>1509245</v>
      </c>
      <c r="B101" s="3" t="inlineStr">
        <is>
          <t xml:space="preserve">PH NOBLE DH 30x4/10</t>
        </is>
      </c>
      <c r="C101" s="4">
        <v>48</v>
      </c>
      <c r="D101" s="4">
        <v>10</v>
      </c>
      <c r="E101" s="5">
        <v>28089.53</v>
      </c>
      <c r="F101" s="5">
        <f>IF(D101&gt;0,E101/D101,"")</f>
        <v>2808.953</v>
      </c>
    </row>
    <row r="102">
      <c r="A102" s="4">
        <v>1509749</v>
      </c>
      <c r="B102" s="3" t="inlineStr">
        <is>
          <t xml:space="preserve">PD ladysoft clasicos 20x30</t>
        </is>
      </c>
      <c r="C102" s="4">
        <v>60</v>
      </c>
      <c r="D102" s="4">
        <v>30</v>
      </c>
      <c r="E102" s="5">
        <v>47205.4</v>
      </c>
      <c r="F102" s="5">
        <f>IF(D102&gt;0,E102/D102,"")</f>
        <v>1573.5133333333333</v>
      </c>
    </row>
    <row r="103">
      <c r="A103" s="4">
        <v>1509750</v>
      </c>
      <c r="B103" s="3" t="inlineStr">
        <is>
          <t xml:space="preserve">PD LADYSOFT CLASICOS 56x10</t>
        </is>
      </c>
      <c r="C103" s="4">
        <v>84</v>
      </c>
      <c r="D103" s="4">
        <v>10</v>
      </c>
      <c r="E103" s="5">
        <v>41386.85</v>
      </c>
      <c r="F103" s="5">
        <f>IF(D103&gt;0,E103/D103,"")</f>
        <v>4138.6849999999995</v>
      </c>
    </row>
    <row r="104">
      <c r="A104" s="4">
        <v>1509755</v>
      </c>
      <c r="B104" s="3" t="inlineStr">
        <is>
          <t xml:space="preserve">TF UD T/SECA LADYSOFT ULTRA PROTECT 8</t>
        </is>
      </c>
      <c r="C104" s="4">
        <v>60</v>
      </c>
      <c r="D104" s="4">
        <v>40</v>
      </c>
      <c r="E104" s="5">
        <v>58063.82</v>
      </c>
      <c r="F104" s="5">
        <f>IF(D104&gt;0,E104/D104,"")</f>
        <v>1451.5955</v>
      </c>
    </row>
    <row r="105">
      <c r="A105" s="4">
        <v>1509756</v>
      </c>
      <c r="B105" s="3" t="inlineStr">
        <is>
          <t xml:space="preserve">TF UD T/SECA LADYSOFT UL PRT 16u</t>
        </is>
      </c>
      <c r="C105" s="4">
        <v>60</v>
      </c>
      <c r="D105" s="4">
        <v>20</v>
      </c>
      <c r="E105" s="5">
        <v>56475.9</v>
      </c>
      <c r="F105" s="5">
        <f>IF(D105&gt;0,E105/D105,"")</f>
        <v>2823.795</v>
      </c>
    </row>
    <row r="106">
      <c r="A106" s="4">
        <v>1509757</v>
      </c>
      <c r="B106" s="3" t="inlineStr">
        <is>
          <t xml:space="preserve">TF UD T/SECA LADYSOFT UL PTEC 24u</t>
        </is>
      </c>
      <c r="C106" s="4">
        <v>60</v>
      </c>
      <c r="D106" s="4">
        <v>15</v>
      </c>
      <c r="E106" s="5">
        <v>60502.23</v>
      </c>
      <c r="F106" s="5">
        <f>IF(D106&gt;0,E106/D106,"")</f>
        <v>4033.4820000000004</v>
      </c>
    </row>
    <row r="107">
      <c r="A107" s="4">
        <v>1509758</v>
      </c>
      <c r="B107" s="3" t="inlineStr">
        <is>
          <t xml:space="preserve">TF UD T/SUAVE EXT ALGO 8X40</t>
        </is>
      </c>
      <c r="C107" s="4">
        <v>60</v>
      </c>
      <c r="D107" s="4">
        <v>40</v>
      </c>
      <c r="E107" s="5">
        <v>54001.88</v>
      </c>
      <c r="F107" s="5">
        <f>IF(D107&gt;0,E107/D107,"")</f>
        <v>1350.047</v>
      </c>
    </row>
    <row r="108">
      <c r="A108" s="4">
        <v>1509759</v>
      </c>
      <c r="B108" s="3" t="inlineStr">
        <is>
          <t xml:space="preserve">TF UD T/SUAVE EXT ALG 16x20</t>
        </is>
      </c>
      <c r="C108" s="4">
        <v>60</v>
      </c>
      <c r="D108" s="4">
        <v>20</v>
      </c>
      <c r="E108" s="5">
        <v>51563.15</v>
      </c>
      <c r="F108" s="5">
        <f>IF(D108&gt;0,E108/D108,"")</f>
        <v>2578.1575000000003</v>
      </c>
    </row>
    <row r="109">
      <c r="A109" s="4">
        <v>1509760</v>
      </c>
      <c r="B109" s="3" t="inlineStr">
        <is>
          <t xml:space="preserve">TD UF T/Suave Ladysoft EXT ALGODÓN 24x15</t>
        </is>
      </c>
      <c r="C109" s="4">
        <v>60</v>
      </c>
      <c r="D109" s="4">
        <v>15</v>
      </c>
      <c r="E109" s="5">
        <v>55018.2</v>
      </c>
      <c r="F109" s="5">
        <f>IF(D109&gt;0,E109/D109,"")</f>
        <v>3667.8799999999997</v>
      </c>
    </row>
    <row r="110">
      <c r="A110" s="4">
        <v>1509761</v>
      </c>
      <c r="B110" s="3" t="inlineStr">
        <is>
          <t xml:space="preserve">TF LADYSOFT COMFORT EXT ALGODON 8x54</t>
        </is>
      </c>
      <c r="C110" s="4">
        <v>50</v>
      </c>
      <c r="D110" s="4">
        <v>54</v>
      </c>
      <c r="E110" s="5">
        <v>51959.99</v>
      </c>
      <c r="F110" s="5">
        <f>IF(D110&gt;0,E110/D110,"")</f>
        <v>962.222037037037</v>
      </c>
    </row>
    <row r="111">
      <c r="A111" s="4">
        <v>1509762</v>
      </c>
      <c r="B111" s="3" t="inlineStr">
        <is>
          <t xml:space="preserve">TF NOCTUR EXT A 8x32</t>
        </is>
      </c>
      <c r="C111" s="4">
        <v>63</v>
      </c>
      <c r="D111" s="4">
        <v>32</v>
      </c>
      <c r="E111" s="5">
        <v>45387.27</v>
      </c>
      <c r="F111" s="5">
        <f>IF(D111&gt;0,E111/D111,"")</f>
        <v>1418.3521875</v>
      </c>
    </row>
    <row r="112">
      <c r="A112" s="4">
        <v>1509763</v>
      </c>
      <c r="B112" s="3" t="inlineStr">
        <is>
          <t xml:space="preserve">TF Nocturna EXT ALGODON 16X16</t>
        </is>
      </c>
      <c r="C112" s="4">
        <v>54</v>
      </c>
      <c r="D112" s="4">
        <v>16</v>
      </c>
      <c r="E112" s="5">
        <v>43851.46</v>
      </c>
      <c r="F112" s="5">
        <f>IF(D112&gt;0,E112/D112,"")</f>
        <v>2740.71625</v>
      </c>
    </row>
    <row r="113">
      <c r="A113" s="4">
        <v>1509764</v>
      </c>
      <c r="B113" s="3" t="inlineStr">
        <is>
          <t xml:space="preserve">TF NORMAL T/SUAVE EXT ALGODON 8x54</t>
        </is>
      </c>
      <c r="C113" s="4">
        <v>54</v>
      </c>
      <c r="D113" s="4">
        <v>54</v>
      </c>
      <c r="E113" s="5">
        <v>54222.36</v>
      </c>
      <c r="F113" s="5">
        <f>IF(D113&gt;0,E113/D113,"")</f>
        <v>1004.1177777777777</v>
      </c>
    </row>
    <row r="114">
      <c r="A114" s="4">
        <v>1509765</v>
      </c>
      <c r="B114" s="3" t="inlineStr">
        <is>
          <t xml:space="preserve">TF NORMALT/SUAVE EXT ALG 16x27</t>
        </is>
      </c>
      <c r="C114" s="4">
        <v>54</v>
      </c>
      <c r="D114" s="4">
        <v>27</v>
      </c>
      <c r="E114" s="5">
        <v>54303.52</v>
      </c>
      <c r="F114" s="5">
        <f>IF(D114&gt;0,E114/D114,"")</f>
        <v>2011.2414814814813</v>
      </c>
    </row>
    <row r="115">
      <c r="A115" s="4">
        <v>1509766</v>
      </c>
      <c r="B115" s="3" t="inlineStr">
        <is>
          <t xml:space="preserve">TF T/SECA NORMAL MAS PROTECC 8x54</t>
        </is>
      </c>
      <c r="C115" s="4">
        <v>54</v>
      </c>
      <c r="D115" s="4">
        <v>54</v>
      </c>
      <c r="E115" s="5">
        <v>59838.63</v>
      </c>
      <c r="F115" s="5">
        <f>IF(D115&gt;0,E115/D115,"")</f>
        <v>1108.1227777777776</v>
      </c>
    </row>
    <row r="116">
      <c r="A116" s="4">
        <v>1509767</v>
      </c>
      <c r="B116" s="3" t="inlineStr">
        <is>
          <t xml:space="preserve">TF UD TSUAVE ACTIVE 8X40</t>
        </is>
      </c>
      <c r="C116" s="4">
        <v>60</v>
      </c>
      <c r="D116" s="4">
        <v>40</v>
      </c>
      <c r="E116" s="5">
        <v>65673.74</v>
      </c>
      <c r="F116" s="5">
        <f>IF(D116&gt;0,E116/D116,"")</f>
        <v>1641.8435000000002</v>
      </c>
    </row>
    <row r="117">
      <c r="A117" s="4">
        <v>1509768</v>
      </c>
      <c r="B117" s="3" t="inlineStr">
        <is>
          <t xml:space="preserve">TF NORMAL T/SUAVE PIEL SENSIBLE 8x54</t>
        </is>
      </c>
      <c r="C117" s="4">
        <v>54</v>
      </c>
      <c r="D117" s="4">
        <v>54</v>
      </c>
      <c r="E117" s="5">
        <v>63726.79</v>
      </c>
      <c r="F117" s="5">
        <f>IF(D117&gt;0,E117/D117,"")</f>
        <v>1180.1257407407409</v>
      </c>
    </row>
    <row r="118">
      <c r="A118" s="4">
        <v>1509769</v>
      </c>
      <c r="B118" s="3" t="inlineStr">
        <is>
          <t xml:space="preserve">PD RESPIRABLES 100/12</t>
        </is>
      </c>
      <c r="C118" s="4">
        <v>50</v>
      </c>
      <c r="D118" s="4">
        <v>12</v>
      </c>
      <c r="E118" s="5">
        <v>76814.97</v>
      </c>
      <c r="F118" s="5">
        <f>IF(D118&gt;0,E118/D118,"")</f>
        <v>6401.2475</v>
      </c>
    </row>
    <row r="119">
      <c r="A119" s="4">
        <v>1509916</v>
      </c>
      <c r="B119" s="3" t="inlineStr">
        <is>
          <t xml:space="preserve">PD LADYSOFT UD RESPIRABLE S/ALAS X20/30</t>
        </is>
      </c>
      <c r="C119" s="4"/>
      <c r="D119" s="4">
        <v>30</v>
      </c>
      <c r="E119" s="5">
        <v>47622.19</v>
      </c>
      <c r="F119" s="5">
        <f>IF(D119&gt;0,E119/D119,"")</f>
        <v>1587.4063333333334</v>
      </c>
    </row>
    <row r="121">
      <c r="A121" s="6" t="inlineStr">
        <is>
          <t xml:space="preserve">* 1503121 TH Babysec Premium 50/10: En el sistema el precio Pack figura 10 veces mas alto. Se toma el precio Unidad del sistema como precio del bulto.</t>
        </is>
      </c>
    </row>
    <row r="122">
      <c r="A122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28/10/2026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39014882</v>
      </c>
      <c r="B67" s="3" t="inlineStr">
        <is>
          <t xml:space="preserve">Gancia LIMA LIMON ONE 4x6x473</t>
        </is>
      </c>
      <c r="C67" s="4">
        <v>24</v>
      </c>
      <c r="D67" s="5">
        <v>42932.74</v>
      </c>
      <c r="E67" s="5">
        <f>IF(C67&gt;0,D67/C67,"")</f>
        <v>1788.8641666666665</v>
      </c>
    </row>
    <row r="68">
      <c r="A68" s="4">
        <v>39014884</v>
      </c>
      <c r="B68" s="3" t="inlineStr">
        <is>
          <t xml:space="preserve">DR LEMON RED BERRIES 5% 4x6x473</t>
        </is>
      </c>
      <c r="C68" s="4">
        <v>24</v>
      </c>
      <c r="D68" s="5">
        <v>46766.89</v>
      </c>
      <c r="E68" s="5">
        <f>IF(C68&gt;0,D68/C68,"")</f>
        <v>1948.6204166666666</v>
      </c>
    </row>
    <row r="69">
      <c r="A69" s="4">
        <v>39014996</v>
      </c>
      <c r="B69" s="3" t="inlineStr">
        <is>
          <t xml:space="preserve">Martini Rosso 16° 12x995ml</t>
        </is>
      </c>
      <c r="C69" s="4">
        <v>12</v>
      </c>
      <c r="D69" s="5">
        <v>93259.44</v>
      </c>
      <c r="E69" s="5">
        <f>IF(C69&gt;0,D69/C69,"")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GARRAPIÑADAS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>
        <v>8</v>
      </c>
      <c r="D168" s="5">
        <v>61993.04</v>
      </c>
      <c r="E168" s="5">
        <f>IF(C168&gt;0,D168/C168,"")</f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>
        <v>20</v>
      </c>
      <c r="D54" s="5">
        <v>24788.79</v>
      </c>
      <c r="E54" s="5">
        <f>IF(C54&gt;0,D54/C54,"")</f>
        <v>1239.4395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>
        <v>24</v>
      </c>
      <c r="D78" s="5">
        <v>54777.28</v>
      </c>
      <c r="E78" s="5">
        <f>IF(C78&gt;0,D78/C78,"")</f>
        <v>2282.3866666666668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23/10/2026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000 MASA MADRE 10x1</t>
        </is>
      </c>
      <c r="C11" s="4">
        <v>10</v>
      </c>
      <c r="D11" s="5">
        <v>13357.93</v>
      </c>
      <c r="E11" s="5">
        <f>IF(C11&gt;0,D11/C11,"")</f>
        <v>1335.7930000000001</v>
      </c>
    </row>
    <row r="12">
      <c r="A12" s="4">
        <v>3626033</v>
      </c>
      <c r="B12" s="3" t="inlineStr">
        <is>
          <t xml:space="preserve">HARINA MASA MADRE S/GLUTE X 400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3626034</v>
      </c>
      <c r="B13" s="3" t="inlineStr">
        <is>
          <t xml:space="preserve">PREM PAN DE QUESO S/GLUTEN X 300 G</t>
        </is>
      </c>
      <c r="C13" s="4">
        <v>10</v>
      </c>
      <c r="D13" s="5">
        <v>19326.25</v>
      </c>
      <c r="E13" s="5">
        <f>IF(C13&gt;0,D13/C13,"")</f>
        <v>1932.625</v>
      </c>
    </row>
    <row r="14">
      <c r="A14" s="4">
        <v>3626040</v>
      </c>
      <c r="B14" s="3" t="inlineStr">
        <is>
          <t xml:space="preserve">HARINA 00 PIZZA NAPOLETANA 10 X 1  KG</t>
        </is>
      </c>
      <c r="C14" s="4">
        <v>10</v>
      </c>
      <c r="D14" s="5">
        <v>25610.4</v>
      </c>
      <c r="E14" s="5">
        <f>IF(C14&gt;0,D14/C14,"")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